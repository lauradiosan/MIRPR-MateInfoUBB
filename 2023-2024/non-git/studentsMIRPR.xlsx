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_Work\School\MIRPR-UBB\2023-2024\"/>
    </mc:Choice>
  </mc:AlternateContent>
  <xr:revisionPtr revIDLastSave="0" documentId="13_ncr:1_{AEAACCC8-F66C-49E7-8A8A-CB592EE06675}" xr6:coauthVersionLast="47" xr6:coauthVersionMax="47" xr10:uidLastSave="{00000000-0000-0000-0000-000000000000}"/>
  <bookViews>
    <workbookView xWindow="14303" yWindow="-98" windowWidth="28995" windowHeight="15675" xr2:uid="{00000000-000D-0000-FFFF-FFFF00000000}"/>
  </bookViews>
  <sheets>
    <sheet name="Sheet1" sheetId="1" r:id="rId1"/>
    <sheet name="remarks" sheetId="2" r:id="rId2"/>
  </sheets>
  <definedNames>
    <definedName name="_xlnm._FilterDatabase" localSheetId="0" hidden="1">Sheet1!$A$3:$AD$25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3" i="1" l="1"/>
  <c r="AB6" i="1"/>
  <c r="AC6" i="1" s="1"/>
  <c r="AB7" i="1"/>
  <c r="AC7" i="1" s="1"/>
  <c r="AB8" i="1"/>
  <c r="AC8" i="1" s="1"/>
  <c r="AB9" i="1"/>
  <c r="AC9" i="1" s="1"/>
  <c r="AB10" i="1"/>
  <c r="AC10" i="1" s="1"/>
  <c r="AB11" i="1"/>
  <c r="AC11" i="1" s="1"/>
  <c r="AB12" i="1"/>
  <c r="AC12" i="1" s="1"/>
  <c r="AB13" i="1"/>
  <c r="AC13" i="1" s="1"/>
  <c r="AB14" i="1"/>
  <c r="AC14" i="1" s="1"/>
  <c r="AB15" i="1"/>
  <c r="AC15" i="1" s="1"/>
  <c r="AB16" i="1"/>
  <c r="AC16" i="1" s="1"/>
  <c r="AB17" i="1"/>
  <c r="AC17" i="1" s="1"/>
  <c r="AB18" i="1"/>
  <c r="AC18" i="1" s="1"/>
  <c r="AB19" i="1"/>
  <c r="AC19" i="1" s="1"/>
  <c r="AB20" i="1"/>
  <c r="AC20" i="1" s="1"/>
  <c r="AB21" i="1"/>
  <c r="AC21" i="1" s="1"/>
  <c r="AB22" i="1"/>
  <c r="AC22" i="1" s="1"/>
  <c r="AB23" i="1"/>
  <c r="AC23" i="1" s="1"/>
  <c r="AB24" i="1"/>
  <c r="AC24" i="1" s="1"/>
  <c r="AB25" i="1"/>
  <c r="AC25" i="1" s="1"/>
  <c r="AB5" i="1"/>
  <c r="AC5" i="1" s="1"/>
  <c r="AB4" i="1"/>
  <c r="AC4" i="1" s="1"/>
  <c r="AB2" i="1"/>
  <c r="AC2" i="1" s="1"/>
</calcChain>
</file>

<file path=xl/sharedStrings.xml><?xml version="1.0" encoding="utf-8"?>
<sst xmlns="http://schemas.openxmlformats.org/spreadsheetml/2006/main" count="243" uniqueCount="117">
  <si>
    <t>Nr echipa</t>
  </si>
  <si>
    <t>Nr crt</t>
  </si>
  <si>
    <t>Nume si prenume</t>
  </si>
  <si>
    <t>Grupa</t>
  </si>
  <si>
    <t>Cod AcademicInfo</t>
  </si>
  <si>
    <t>Titlul proiect</t>
  </si>
  <si>
    <t>Echipa PPI</t>
  </si>
  <si>
    <t>Vintilă Dragoș</t>
  </si>
  <si>
    <t>4Y110943</t>
  </si>
  <si>
    <t>AI and sensor based automatic self-assessment tool</t>
  </si>
  <si>
    <t>da</t>
  </si>
  <si>
    <t>Hățiși Bogdan</t>
  </si>
  <si>
    <t>Jaclina-Iana Bulat</t>
  </si>
  <si>
    <t>4y111896</t>
  </si>
  <si>
    <t>Image processing for ER</t>
  </si>
  <si>
    <t>nu</t>
  </si>
  <si>
    <t>Bruchental Robert</t>
  </si>
  <si>
    <t>3y121848</t>
  </si>
  <si>
    <t>Climate Perception Bio-Meteorologie</t>
  </si>
  <si>
    <t>Lomonar Cornel Alexandru</t>
  </si>
  <si>
    <t>4Y110168</t>
  </si>
  <si>
    <t>Hoszu Bernadett</t>
  </si>
  <si>
    <t>4Y115759</t>
  </si>
  <si>
    <t>Climate Perception</t>
  </si>
  <si>
    <t>Zirbo Samuel</t>
  </si>
  <si>
    <t>4Y110476</t>
  </si>
  <si>
    <t>Stoica Victor-Claudiu</t>
  </si>
  <si>
    <t>4Y114588</t>
  </si>
  <si>
    <t>Staniș Filip</t>
  </si>
  <si>
    <t>4Y111744</t>
  </si>
  <si>
    <t>Jardan Andrei</t>
  </si>
  <si>
    <t>4Y109987</t>
  </si>
  <si>
    <t>Sonfulian Vlad-Iulian</t>
  </si>
  <si>
    <t>Pa7b2CXp</t>
  </si>
  <si>
    <t>Groza Iulia-Diana</t>
  </si>
  <si>
    <t>4Y109523</t>
  </si>
  <si>
    <t>4Y109087</t>
  </si>
  <si>
    <t>4Y110815</t>
  </si>
  <si>
    <t>4Y114561</t>
  </si>
  <si>
    <t>Dinica Mircea</t>
  </si>
  <si>
    <t>4Y115709</t>
  </si>
  <si>
    <t>Nastasa Stefan-Alexandru</t>
  </si>
  <si>
    <t>4Y119851</t>
  </si>
  <si>
    <t>Haraseniuc Laura</t>
  </si>
  <si>
    <t>4Y112672</t>
  </si>
  <si>
    <t>Pușnei Victor Dumitru</t>
  </si>
  <si>
    <t>4Y111885</t>
  </si>
  <si>
    <t>Lab2</t>
  </si>
  <si>
    <t>Lab3</t>
  </si>
  <si>
    <t>?</t>
  </si>
  <si>
    <t>Breast cancer</t>
  </si>
  <si>
    <t>Ilie Oana Andreea</t>
  </si>
  <si>
    <t>ER-heart</t>
  </si>
  <si>
    <t>4Y109085</t>
  </si>
  <si>
    <t>Chess</t>
  </si>
  <si>
    <t>Climate ?</t>
  </si>
  <si>
    <t>SmartAgric</t>
  </si>
  <si>
    <t>4y109540</t>
  </si>
  <si>
    <t>Grama Andrei</t>
  </si>
  <si>
    <t>4Y115593</t>
  </si>
  <si>
    <t>Holo-Bot - stackOverFlow</t>
  </si>
  <si>
    <t>"Unresponsive" HoloBOT - Mental Health</t>
  </si>
  <si>
    <t>Tofan Cristian - face</t>
  </si>
  <si>
    <t>Mirt Leonard - watch</t>
  </si>
  <si>
    <t>Stancu Diana - audio</t>
  </si>
  <si>
    <t>Cristian Ferrara</t>
  </si>
  <si>
    <t>Erasmus</t>
  </si>
  <si>
    <t>0227573</t>
  </si>
  <si>
    <t>Fake news detection</t>
  </si>
  <si>
    <t>Lab 4</t>
  </si>
  <si>
    <t>Lab 5</t>
  </si>
  <si>
    <t>Lab6</t>
  </si>
  <si>
    <t>Lab 7</t>
  </si>
  <si>
    <t>Total</t>
  </si>
  <si>
    <t>Nota</t>
  </si>
  <si>
    <t>https://github.com/LauraDiosan-CS/projects-automatic-self-assessment-tool</t>
  </si>
  <si>
    <t>Git</t>
  </si>
  <si>
    <t>Code</t>
  </si>
  <si>
    <t>Teaser</t>
  </si>
  <si>
    <t>prezentare</t>
  </si>
  <si>
    <t>Raport</t>
  </si>
  <si>
    <t>Documentatie</t>
  </si>
  <si>
    <t>AI scripts</t>
  </si>
  <si>
    <t>AI Models</t>
  </si>
  <si>
    <t>App code</t>
  </si>
  <si>
    <t>https://github.com/LauraDiosan-CS/projects-chessboard_pieces_detection</t>
  </si>
  <si>
    <t>https://github.com/LauraDiosan-CS/projects-pulsepals</t>
  </si>
  <si>
    <t>done</t>
  </si>
  <si>
    <t>https://github.com/LauraDiosan-CS/projects-smart-agriculture</t>
  </si>
  <si>
    <t>https://github.com/LauraDiosan-CS/projects-weather_based_predictions</t>
  </si>
  <si>
    <t>Link</t>
  </si>
  <si>
    <t>https://github.com/LauraDiosan-CS/projects-mindful-mental-health-holobot/tree/main</t>
  </si>
  <si>
    <t>ER - plaman; clasific sanatos sau nu</t>
  </si>
  <si>
    <t>https://github.com/LauraDiosan-CS/projects-jh</t>
  </si>
  <si>
    <t>https://github.com/LauraDiosan-CS/projects-biometric-self-assessment-tool/tree/main</t>
  </si>
  <si>
    <t>https://github.com/LauraDiosan-CS/projects-temperature-prediction</t>
  </si>
  <si>
    <t>https://github.com/LauraDiosan-CS/projects-breast-cancer</t>
  </si>
  <si>
    <t>https://github.com/LauraDiosan-CS/projects-erlung</t>
  </si>
  <si>
    <t>https://github.com/LauraDiosan-CS/projects-holobot-chatbot</t>
  </si>
  <si>
    <t>https://github.com/LauraDiosan-CS/projects-cristian-ferrara</t>
  </si>
  <si>
    <t>improvements</t>
  </si>
  <si>
    <t>problem description; challenges of the problem</t>
  </si>
  <si>
    <t>solutions - key elements that influence the AI performance</t>
  </si>
  <si>
    <t>https://github.com/LauraDiosan-CS/projects-er-heart-tamponade-detection</t>
  </si>
  <si>
    <t>App-flow</t>
  </si>
  <si>
    <t>App-smallData</t>
  </si>
  <si>
    <t>App-realData</t>
  </si>
  <si>
    <t>App-integration</t>
  </si>
  <si>
    <t>App-improvements</t>
  </si>
  <si>
    <t>App-deploy,demo</t>
  </si>
  <si>
    <t>Doc-pb&amp;relWork</t>
  </si>
  <si>
    <t>Doc-algo</t>
  </si>
  <si>
    <t>Doc-experim</t>
  </si>
  <si>
    <t>Doc-mindMap&amp;improvements</t>
  </si>
  <si>
    <t>Doc-teaser&amp;pres</t>
  </si>
  <si>
    <t>Final pres</t>
  </si>
  <si>
    <t>acadInfo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</si>
</sst>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54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0" borderId="1" xfId="0" applyBorder="1"/>
    <xf numFmtId="0" fontId="0" fillId="2" borderId="0" xfId="0" applyFill="1"/>
    <xf numFmtId="0" fontId="0" fillId="3" borderId="0" xfId="0" applyFill="1"/>
    <xf numFmtId="0" fontId="0" fillId="2" borderId="2" xfId="0" applyFill="1" applyBorder="1"/>
    <xf numFmtId="0" fontId="0" fillId="3" borderId="2" xfId="0" applyFill="1" applyBorder="1"/>
    <xf numFmtId="43" fontId="0" fillId="0" borderId="0" xfId="1" applyFont="1"/>
    <xf numFmtId="0" fontId="0" fillId="4" borderId="0" xfId="0" applyFill="1"/>
    <xf numFmtId="0" fontId="0" fillId="4" borderId="1" xfId="0" applyFill="1" applyBorder="1"/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0" borderId="1" xfId="0" applyFont="1" applyBorder="1"/>
    <xf numFmtId="0" fontId="1" fillId="0" borderId="1" xfId="0" applyFont="1" applyBorder="1"/>
    <xf numFmtId="0" fontId="0" fillId="3" borderId="1" xfId="0" quotePrefix="1" applyFill="1" applyBorder="1"/>
    <xf numFmtId="0" fontId="0" fillId="5" borderId="1" xfId="0" applyFill="1" applyBorder="1"/>
    <xf numFmtId="0" fontId="0" fillId="6" borderId="1" xfId="0" applyFill="1" applyBorder="1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3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4" fillId="2" borderId="1" xfId="0" applyFont="1" applyFill="1" applyBorder="1" applyAlignment="1">
      <alignment wrapText="1"/>
    </xf>
    <xf numFmtId="0" fontId="4" fillId="3" borderId="1" xfId="0" applyFont="1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7" borderId="1" xfId="0" applyFill="1" applyBorder="1" applyAlignment="1">
      <alignment horizontal="left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5" fillId="0" borderId="6" xfId="2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5" fillId="0" borderId="1" xfId="2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0" fillId="7" borderId="6" xfId="0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0" fillId="7" borderId="7" xfId="0" applyFill="1" applyBorder="1" applyAlignment="1">
      <alignment horizontal="center" vertical="center" wrapText="1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LauraDiosan-CS/projects-temperature-prediction" TargetMode="External"/><Relationship Id="rId2" Type="http://schemas.openxmlformats.org/officeDocument/2006/relationships/hyperlink" Target="https://github.com/LauraDiosan-CS/projects-biometric-self-assessment-tool/tree/main" TargetMode="External"/><Relationship Id="rId1" Type="http://schemas.openxmlformats.org/officeDocument/2006/relationships/hyperlink" Target="https://github.com/LauraDiosan-CS/projects-jh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github.com/LauraDiosan-CS/projects-erlung" TargetMode="External"/><Relationship Id="rId4" Type="http://schemas.openxmlformats.org/officeDocument/2006/relationships/hyperlink" Target="https://github.com/LauraDiosan-CS/projects-breast-canc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6"/>
  <sheetViews>
    <sheetView tabSelected="1" topLeftCell="C1" zoomScaleNormal="100" workbookViewId="0">
      <pane xSplit="6" ySplit="3" topLeftCell="AC22" activePane="bottomRight" state="frozen"/>
      <selection activeCell="C1" sqref="C1"/>
      <selection pane="topRight" activeCell="H1" sqref="H1"/>
      <selection pane="bottomLeft" activeCell="C4" sqref="C4"/>
      <selection pane="bottomRight" activeCell="AD25" sqref="AD25"/>
    </sheetView>
  </sheetViews>
  <sheetFormatPr defaultColWidth="8.81640625" defaultRowHeight="14.5" outlineLevelRow="2" x14ac:dyDescent="0.35"/>
  <cols>
    <col min="3" max="3" width="16.54296875" customWidth="1"/>
    <col min="5" max="5" width="10.26953125" customWidth="1"/>
    <col min="6" max="8" width="17.26953125" style="11" customWidth="1"/>
    <col min="9" max="14" width="3.90625" style="11" customWidth="1"/>
    <col min="15" max="15" width="10.7265625" customWidth="1"/>
    <col min="16" max="16" width="8.81640625" style="1"/>
    <col min="17" max="17" width="8.81640625" style="2"/>
    <col min="18" max="18" width="8.81640625" style="4"/>
    <col min="19" max="19" width="8.81640625" style="5"/>
    <col min="20" max="20" width="8.81640625" style="4"/>
    <col min="21" max="21" width="8.81640625" style="9"/>
    <col min="22" max="22" width="8.81640625" style="4"/>
    <col min="23" max="23" width="8.81640625" style="5"/>
    <col min="24" max="24" width="8.81640625" style="4"/>
    <col min="25" max="25" width="8.81640625" style="5"/>
    <col min="26" max="26" width="8.81640625" style="4"/>
    <col min="27" max="27" width="8.81640625" style="5"/>
  </cols>
  <sheetData>
    <row r="1" spans="1:30" x14ac:dyDescent="0.35">
      <c r="A1" s="3"/>
      <c r="B1" s="3"/>
      <c r="C1" s="3"/>
      <c r="D1" s="3"/>
      <c r="E1" s="3"/>
      <c r="F1" s="12"/>
      <c r="G1" s="25"/>
      <c r="H1" s="26" t="s">
        <v>76</v>
      </c>
      <c r="I1" s="27"/>
      <c r="J1" s="27"/>
      <c r="K1" s="27"/>
      <c r="L1" s="27"/>
      <c r="M1" s="27"/>
      <c r="N1" s="28"/>
      <c r="O1" s="44" t="s">
        <v>6</v>
      </c>
      <c r="P1" s="41" t="s">
        <v>47</v>
      </c>
      <c r="Q1" s="41"/>
      <c r="R1" s="41" t="s">
        <v>48</v>
      </c>
      <c r="S1" s="41"/>
      <c r="T1" s="41" t="s">
        <v>69</v>
      </c>
      <c r="U1" s="41"/>
      <c r="V1" s="39" t="s">
        <v>70</v>
      </c>
      <c r="W1" s="39"/>
      <c r="X1" s="39" t="s">
        <v>71</v>
      </c>
      <c r="Y1" s="39"/>
      <c r="Z1" s="39" t="s">
        <v>72</v>
      </c>
      <c r="AA1" s="39"/>
      <c r="AB1" s="3" t="s">
        <v>73</v>
      </c>
      <c r="AC1" s="3" t="s">
        <v>74</v>
      </c>
    </row>
    <row r="2" spans="1:30" x14ac:dyDescent="0.35">
      <c r="A2" s="3"/>
      <c r="B2" s="3"/>
      <c r="C2" s="3"/>
      <c r="D2" s="3"/>
      <c r="E2" s="3"/>
      <c r="F2" s="12"/>
      <c r="G2" s="24"/>
      <c r="H2" s="35" t="s">
        <v>90</v>
      </c>
      <c r="I2" s="47" t="s">
        <v>77</v>
      </c>
      <c r="J2" s="48"/>
      <c r="K2" s="49"/>
      <c r="L2" s="47" t="s">
        <v>81</v>
      </c>
      <c r="M2" s="48"/>
      <c r="N2" s="49"/>
      <c r="O2" s="50"/>
      <c r="P2" s="13">
        <v>10</v>
      </c>
      <c r="Q2" s="13">
        <v>5</v>
      </c>
      <c r="R2" s="13">
        <v>5</v>
      </c>
      <c r="S2" s="13">
        <v>5</v>
      </c>
      <c r="T2" s="13">
        <v>5</v>
      </c>
      <c r="U2" s="13">
        <v>5</v>
      </c>
      <c r="V2" s="15">
        <v>10</v>
      </c>
      <c r="W2" s="16">
        <v>15</v>
      </c>
      <c r="X2" s="15">
        <v>20</v>
      </c>
      <c r="Y2" s="16">
        <v>10</v>
      </c>
      <c r="Z2" s="15">
        <v>10</v>
      </c>
      <c r="AA2" s="16">
        <v>10</v>
      </c>
      <c r="AB2" s="3">
        <f>SUM(P2:AA2)</f>
        <v>110</v>
      </c>
      <c r="AC2" s="3">
        <f>IF(AB2&gt;99,10,IF(AB2&gt;89,9,IF(AB2&gt;69,8,IF(AB2&gt;49,7,IF(AB2&gt;39,6,IF(AB2&gt;29,5,4))))))</f>
        <v>10</v>
      </c>
    </row>
    <row r="3" spans="1:30" ht="58" x14ac:dyDescent="0.3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12" t="s">
        <v>5</v>
      </c>
      <c r="G3" s="23"/>
      <c r="H3" s="37"/>
      <c r="I3" s="12" t="s">
        <v>82</v>
      </c>
      <c r="J3" s="12" t="s">
        <v>83</v>
      </c>
      <c r="K3" s="12" t="s">
        <v>84</v>
      </c>
      <c r="L3" s="12" t="s">
        <v>80</v>
      </c>
      <c r="M3" s="12" t="s">
        <v>78</v>
      </c>
      <c r="N3" s="12" t="s">
        <v>79</v>
      </c>
      <c r="O3" s="45"/>
      <c r="P3" s="29" t="s">
        <v>104</v>
      </c>
      <c r="Q3" s="30" t="s">
        <v>110</v>
      </c>
      <c r="R3" s="29" t="s">
        <v>105</v>
      </c>
      <c r="S3" s="30" t="s">
        <v>111</v>
      </c>
      <c r="T3" s="29" t="s">
        <v>106</v>
      </c>
      <c r="U3" s="31" t="s">
        <v>112</v>
      </c>
      <c r="V3" s="32" t="s">
        <v>107</v>
      </c>
      <c r="W3" s="33" t="s">
        <v>113</v>
      </c>
      <c r="X3" s="32" t="s">
        <v>108</v>
      </c>
      <c r="Y3" s="33" t="s">
        <v>114</v>
      </c>
      <c r="Z3" s="32" t="s">
        <v>109</v>
      </c>
      <c r="AA3" s="33" t="s">
        <v>115</v>
      </c>
      <c r="AB3" s="3"/>
      <c r="AC3" s="3">
        <f>IF(AB3&gt;99,10,IF(AB3&gt;89,9,IF(AB3&gt;69,8,IF(AB3&gt;49,7,IF(AB3&gt;39,6,IF(AB3&gt;29,5,4))))))</f>
        <v>4</v>
      </c>
      <c r="AD3" t="s">
        <v>116</v>
      </c>
    </row>
    <row r="4" spans="1:30" outlineLevel="2" x14ac:dyDescent="0.35">
      <c r="A4" s="39">
        <v>1</v>
      </c>
      <c r="B4" s="3">
        <v>1</v>
      </c>
      <c r="C4" s="1" t="s">
        <v>7</v>
      </c>
      <c r="D4" s="3">
        <v>937</v>
      </c>
      <c r="E4" s="3" t="s">
        <v>8</v>
      </c>
      <c r="F4" s="40" t="s">
        <v>9</v>
      </c>
      <c r="G4" s="51">
        <v>1</v>
      </c>
      <c r="H4" s="46" t="s">
        <v>94</v>
      </c>
      <c r="I4" s="35" t="s">
        <v>87</v>
      </c>
      <c r="J4" s="35" t="s">
        <v>87</v>
      </c>
      <c r="K4" s="35" t="s">
        <v>87</v>
      </c>
      <c r="L4" s="35" t="s">
        <v>87</v>
      </c>
      <c r="M4" s="35" t="s">
        <v>49</v>
      </c>
      <c r="N4" s="35" t="s">
        <v>49</v>
      </c>
      <c r="O4" s="42" t="s">
        <v>10</v>
      </c>
      <c r="P4" s="1">
        <v>10</v>
      </c>
      <c r="Q4" s="2">
        <v>5</v>
      </c>
      <c r="R4" s="1">
        <v>5</v>
      </c>
      <c r="S4" s="2">
        <v>5</v>
      </c>
      <c r="T4" s="1">
        <v>5</v>
      </c>
      <c r="U4" s="10">
        <v>5</v>
      </c>
      <c r="V4" s="1">
        <v>10</v>
      </c>
      <c r="W4" s="2">
        <v>10</v>
      </c>
      <c r="X4" s="1">
        <v>10</v>
      </c>
      <c r="Y4" s="2">
        <v>0</v>
      </c>
      <c r="Z4" s="1">
        <v>10</v>
      </c>
      <c r="AA4" s="2">
        <v>10</v>
      </c>
      <c r="AB4" s="3">
        <f>SUM(P4:AA4)</f>
        <v>85</v>
      </c>
      <c r="AC4" s="3">
        <f t="shared" ref="AC4:AC25" si="0">IF(AB4&gt;99,10,IF(AB4&gt;89,9,IF(AB4&gt;69,8,IF(AB4&gt;49,7,IF(AB4&gt;39,6,IF(AB4&gt;29,5,4))))))</f>
        <v>8</v>
      </c>
      <c r="AD4" t="s">
        <v>87</v>
      </c>
    </row>
    <row r="5" spans="1:30" outlineLevel="2" x14ac:dyDescent="0.35">
      <c r="A5" s="39"/>
      <c r="B5" s="3">
        <v>2</v>
      </c>
      <c r="C5" s="1" t="s">
        <v>11</v>
      </c>
      <c r="D5" s="17">
        <v>233</v>
      </c>
      <c r="E5" s="17" t="s">
        <v>57</v>
      </c>
      <c r="F5" s="40"/>
      <c r="G5" s="52"/>
      <c r="H5" s="43"/>
      <c r="I5" s="37"/>
      <c r="J5" s="37"/>
      <c r="K5" s="37"/>
      <c r="L5" s="37"/>
      <c r="M5" s="37"/>
      <c r="N5" s="37"/>
      <c r="O5" s="42"/>
      <c r="P5" s="1">
        <v>10</v>
      </c>
      <c r="Q5" s="2">
        <v>5</v>
      </c>
      <c r="R5" s="1">
        <v>5</v>
      </c>
      <c r="S5" s="2">
        <v>5</v>
      </c>
      <c r="T5" s="1">
        <v>5</v>
      </c>
      <c r="U5" s="10">
        <v>5</v>
      </c>
      <c r="V5" s="1">
        <v>10</v>
      </c>
      <c r="W5" s="2">
        <v>10</v>
      </c>
      <c r="X5" s="1">
        <v>10</v>
      </c>
      <c r="Y5" s="2">
        <v>0</v>
      </c>
      <c r="Z5" s="1">
        <v>10</v>
      </c>
      <c r="AA5" s="2">
        <v>10</v>
      </c>
      <c r="AB5" s="3">
        <f>SUM(P5:AA5)</f>
        <v>85</v>
      </c>
      <c r="AC5" s="3">
        <f t="shared" si="0"/>
        <v>8</v>
      </c>
      <c r="AD5" t="s">
        <v>87</v>
      </c>
    </row>
    <row r="6" spans="1:30" ht="58" x14ac:dyDescent="0.35">
      <c r="A6" s="14">
        <v>2</v>
      </c>
      <c r="B6" s="3">
        <v>3</v>
      </c>
      <c r="C6" s="2" t="s">
        <v>12</v>
      </c>
      <c r="D6" s="3">
        <v>931</v>
      </c>
      <c r="E6" s="3" t="s">
        <v>13</v>
      </c>
      <c r="F6" s="12" t="s">
        <v>14</v>
      </c>
      <c r="G6" s="12">
        <v>2</v>
      </c>
      <c r="H6" s="12" t="s">
        <v>86</v>
      </c>
      <c r="I6" s="12" t="s">
        <v>87</v>
      </c>
      <c r="J6" s="12" t="s">
        <v>87</v>
      </c>
      <c r="K6" s="12" t="s">
        <v>87</v>
      </c>
      <c r="L6" s="12" t="s">
        <v>87</v>
      </c>
      <c r="M6" s="12" t="s">
        <v>87</v>
      </c>
      <c r="N6" s="12" t="s">
        <v>87</v>
      </c>
      <c r="O6" s="14" t="s">
        <v>10</v>
      </c>
      <c r="P6" s="1">
        <v>10</v>
      </c>
      <c r="Q6" s="2">
        <v>5</v>
      </c>
      <c r="R6" s="1">
        <v>5</v>
      </c>
      <c r="S6" s="2">
        <v>5</v>
      </c>
      <c r="T6" s="1">
        <v>5</v>
      </c>
      <c r="U6" s="10">
        <v>5</v>
      </c>
      <c r="V6" s="1">
        <v>10</v>
      </c>
      <c r="W6" s="2">
        <v>15</v>
      </c>
      <c r="X6" s="1">
        <v>15</v>
      </c>
      <c r="Y6" s="2">
        <v>10</v>
      </c>
      <c r="Z6" s="1">
        <v>10</v>
      </c>
      <c r="AA6" s="2">
        <v>15</v>
      </c>
      <c r="AB6" s="3">
        <f t="shared" ref="AB6:AB25" si="1">SUM(P6:AA6)</f>
        <v>110</v>
      </c>
      <c r="AC6" s="3">
        <f t="shared" si="0"/>
        <v>10</v>
      </c>
      <c r="AD6" t="s">
        <v>87</v>
      </c>
    </row>
    <row r="7" spans="1:30" ht="72.5" x14ac:dyDescent="0.35">
      <c r="A7" s="14">
        <v>3</v>
      </c>
      <c r="B7" s="3">
        <v>4</v>
      </c>
      <c r="C7" s="1" t="s">
        <v>16</v>
      </c>
      <c r="D7" s="3">
        <v>231</v>
      </c>
      <c r="E7" s="3" t="s">
        <v>17</v>
      </c>
      <c r="F7" s="12" t="s">
        <v>18</v>
      </c>
      <c r="G7" s="34">
        <v>3</v>
      </c>
      <c r="H7" s="12" t="s">
        <v>89</v>
      </c>
      <c r="I7" s="12" t="s">
        <v>87</v>
      </c>
      <c r="J7" s="12" t="s">
        <v>87</v>
      </c>
      <c r="K7" s="12" t="s">
        <v>87</v>
      </c>
      <c r="L7" s="12" t="s">
        <v>87</v>
      </c>
      <c r="M7" s="12" t="s">
        <v>49</v>
      </c>
      <c r="N7" s="12" t="s">
        <v>87</v>
      </c>
      <c r="O7" s="3" t="s">
        <v>10</v>
      </c>
      <c r="P7" s="1">
        <v>8</v>
      </c>
      <c r="Q7" s="2">
        <v>5</v>
      </c>
      <c r="R7" s="1">
        <v>5</v>
      </c>
      <c r="S7" s="2">
        <v>4</v>
      </c>
      <c r="T7" s="1">
        <v>4</v>
      </c>
      <c r="U7" s="10">
        <v>4</v>
      </c>
      <c r="V7" s="1">
        <v>9</v>
      </c>
      <c r="W7" s="2">
        <v>10</v>
      </c>
      <c r="X7" s="1">
        <v>9</v>
      </c>
      <c r="Y7" s="2">
        <v>5</v>
      </c>
      <c r="Z7" s="1">
        <v>10</v>
      </c>
      <c r="AA7" s="2">
        <v>10</v>
      </c>
      <c r="AB7" s="3">
        <f t="shared" si="1"/>
        <v>83</v>
      </c>
      <c r="AC7" s="3">
        <f t="shared" si="0"/>
        <v>8</v>
      </c>
      <c r="AD7" t="s">
        <v>87</v>
      </c>
    </row>
    <row r="8" spans="1:30" ht="58" x14ac:dyDescent="0.35">
      <c r="A8" s="14">
        <v>4</v>
      </c>
      <c r="B8" s="3">
        <v>5</v>
      </c>
      <c r="C8" s="2" t="s">
        <v>19</v>
      </c>
      <c r="D8" s="3">
        <v>234</v>
      </c>
      <c r="E8" s="3" t="s">
        <v>20</v>
      </c>
      <c r="F8" s="12" t="s">
        <v>56</v>
      </c>
      <c r="G8" s="34">
        <v>4</v>
      </c>
      <c r="H8" s="12" t="s">
        <v>88</v>
      </c>
      <c r="I8" s="12" t="s">
        <v>87</v>
      </c>
      <c r="J8" s="12" t="s">
        <v>87</v>
      </c>
      <c r="K8" s="12" t="s">
        <v>87</v>
      </c>
      <c r="L8" s="12" t="s">
        <v>87</v>
      </c>
      <c r="M8" s="12" t="s">
        <v>49</v>
      </c>
      <c r="N8" s="12" t="s">
        <v>87</v>
      </c>
      <c r="O8" s="3" t="s">
        <v>10</v>
      </c>
      <c r="P8" s="1">
        <v>10</v>
      </c>
      <c r="Q8" s="2">
        <v>4</v>
      </c>
      <c r="R8" s="1">
        <v>5</v>
      </c>
      <c r="S8" s="2">
        <v>3</v>
      </c>
      <c r="T8" s="1">
        <v>4</v>
      </c>
      <c r="U8" s="10">
        <v>4</v>
      </c>
      <c r="V8" s="1">
        <v>10</v>
      </c>
      <c r="W8" s="2">
        <v>5</v>
      </c>
      <c r="X8" s="1">
        <v>5</v>
      </c>
      <c r="Y8" s="2">
        <v>5</v>
      </c>
      <c r="Z8" s="1">
        <v>10</v>
      </c>
      <c r="AA8" s="2">
        <v>9</v>
      </c>
      <c r="AB8" s="3">
        <f t="shared" si="1"/>
        <v>74</v>
      </c>
      <c r="AC8" s="3">
        <f t="shared" si="0"/>
        <v>8</v>
      </c>
      <c r="AD8" t="s">
        <v>87</v>
      </c>
    </row>
    <row r="9" spans="1:30" ht="29" customHeight="1" x14ac:dyDescent="0.35">
      <c r="A9" s="39">
        <v>5</v>
      </c>
      <c r="B9" s="3">
        <v>6</v>
      </c>
      <c r="C9" s="2" t="s">
        <v>21</v>
      </c>
      <c r="D9" s="3">
        <v>933</v>
      </c>
      <c r="E9" s="3" t="s">
        <v>22</v>
      </c>
      <c r="F9" s="40" t="s">
        <v>23</v>
      </c>
      <c r="G9" s="35">
        <v>5</v>
      </c>
      <c r="H9" s="38" t="s">
        <v>93</v>
      </c>
      <c r="I9" s="35" t="s">
        <v>87</v>
      </c>
      <c r="J9" s="35" t="s">
        <v>87</v>
      </c>
      <c r="K9" s="35" t="s">
        <v>87</v>
      </c>
      <c r="L9" s="35" t="s">
        <v>87</v>
      </c>
      <c r="M9" s="35" t="s">
        <v>87</v>
      </c>
      <c r="N9" s="35" t="s">
        <v>87</v>
      </c>
      <c r="O9" s="39" t="s">
        <v>10</v>
      </c>
      <c r="P9" s="1">
        <v>10</v>
      </c>
      <c r="Q9" s="2">
        <v>5</v>
      </c>
      <c r="R9" s="1">
        <v>5</v>
      </c>
      <c r="S9" s="2">
        <v>5</v>
      </c>
      <c r="T9" s="1">
        <v>5</v>
      </c>
      <c r="U9" s="10">
        <v>5</v>
      </c>
      <c r="V9" s="1">
        <v>10</v>
      </c>
      <c r="W9" s="2">
        <v>10</v>
      </c>
      <c r="X9" s="1">
        <v>25</v>
      </c>
      <c r="Y9" s="2">
        <v>10</v>
      </c>
      <c r="Z9" s="1">
        <v>10</v>
      </c>
      <c r="AA9" s="2">
        <v>15</v>
      </c>
      <c r="AB9" s="3">
        <f t="shared" si="1"/>
        <v>115</v>
      </c>
      <c r="AC9" s="3">
        <f t="shared" si="0"/>
        <v>10</v>
      </c>
      <c r="AD9" t="s">
        <v>87</v>
      </c>
    </row>
    <row r="10" spans="1:30" x14ac:dyDescent="0.35">
      <c r="A10" s="39"/>
      <c r="B10" s="3">
        <v>7</v>
      </c>
      <c r="C10" s="2" t="s">
        <v>24</v>
      </c>
      <c r="D10" s="3">
        <v>935</v>
      </c>
      <c r="E10" s="3" t="s">
        <v>25</v>
      </c>
      <c r="F10" s="40"/>
      <c r="G10" s="37"/>
      <c r="H10" s="37"/>
      <c r="I10" s="37"/>
      <c r="J10" s="37"/>
      <c r="K10" s="37"/>
      <c r="L10" s="37"/>
      <c r="M10" s="37"/>
      <c r="N10" s="37"/>
      <c r="O10" s="39"/>
      <c r="P10" s="1">
        <v>10</v>
      </c>
      <c r="Q10" s="2">
        <v>5</v>
      </c>
      <c r="R10" s="1">
        <v>5</v>
      </c>
      <c r="S10" s="2">
        <v>5</v>
      </c>
      <c r="T10" s="1">
        <v>5</v>
      </c>
      <c r="U10" s="10">
        <v>5</v>
      </c>
      <c r="V10" s="1">
        <v>10</v>
      </c>
      <c r="W10" s="2">
        <v>10</v>
      </c>
      <c r="X10" s="1">
        <v>25</v>
      </c>
      <c r="Y10" s="2">
        <v>10</v>
      </c>
      <c r="Z10" s="1">
        <v>10</v>
      </c>
      <c r="AA10" s="2">
        <v>15</v>
      </c>
      <c r="AB10" s="3">
        <f t="shared" si="1"/>
        <v>115</v>
      </c>
      <c r="AC10" s="3">
        <f t="shared" si="0"/>
        <v>10</v>
      </c>
      <c r="AD10" t="s">
        <v>87</v>
      </c>
    </row>
    <row r="11" spans="1:30" ht="29" customHeight="1" x14ac:dyDescent="0.35">
      <c r="A11" s="39">
        <v>6</v>
      </c>
      <c r="B11" s="3">
        <v>8</v>
      </c>
      <c r="C11" s="2" t="s">
        <v>26</v>
      </c>
      <c r="D11" s="3">
        <v>236</v>
      </c>
      <c r="E11" s="3" t="s">
        <v>27</v>
      </c>
      <c r="F11" s="40" t="s">
        <v>55</v>
      </c>
      <c r="G11" s="35">
        <v>6</v>
      </c>
      <c r="H11" s="38" t="s">
        <v>95</v>
      </c>
      <c r="I11" s="35" t="s">
        <v>87</v>
      </c>
      <c r="J11" s="35" t="s">
        <v>87</v>
      </c>
      <c r="K11" s="35" t="s">
        <v>87</v>
      </c>
      <c r="L11" s="35" t="s">
        <v>87</v>
      </c>
      <c r="M11" s="35" t="s">
        <v>87</v>
      </c>
      <c r="N11" s="35" t="s">
        <v>87</v>
      </c>
      <c r="O11" s="42" t="s">
        <v>15</v>
      </c>
      <c r="P11" s="1">
        <v>10</v>
      </c>
      <c r="Q11" s="2">
        <v>3</v>
      </c>
      <c r="R11" s="1">
        <v>4.5</v>
      </c>
      <c r="S11" s="2">
        <v>3</v>
      </c>
      <c r="T11" s="1">
        <v>4</v>
      </c>
      <c r="U11" s="10">
        <v>3</v>
      </c>
      <c r="V11" s="1">
        <v>4.5</v>
      </c>
      <c r="W11" s="2">
        <v>0</v>
      </c>
      <c r="X11" s="1">
        <v>9</v>
      </c>
      <c r="Y11" s="2">
        <v>10</v>
      </c>
      <c r="Z11" s="1">
        <v>9</v>
      </c>
      <c r="AA11" s="2">
        <v>10</v>
      </c>
      <c r="AB11" s="3">
        <f t="shared" si="1"/>
        <v>70</v>
      </c>
      <c r="AC11" s="3">
        <f t="shared" si="0"/>
        <v>8</v>
      </c>
      <c r="AD11" t="s">
        <v>87</v>
      </c>
    </row>
    <row r="12" spans="1:30" x14ac:dyDescent="0.35">
      <c r="A12" s="39"/>
      <c r="B12" s="3">
        <v>9</v>
      </c>
      <c r="C12" s="2" t="s">
        <v>28</v>
      </c>
      <c r="D12" s="3">
        <v>236</v>
      </c>
      <c r="E12" s="3" t="s">
        <v>29</v>
      </c>
      <c r="F12" s="40"/>
      <c r="G12" s="37"/>
      <c r="H12" s="37"/>
      <c r="I12" s="37"/>
      <c r="J12" s="37"/>
      <c r="K12" s="37"/>
      <c r="L12" s="37"/>
      <c r="M12" s="37"/>
      <c r="N12" s="37"/>
      <c r="O12" s="42"/>
      <c r="P12" s="1">
        <v>10</v>
      </c>
      <c r="Q12" s="2">
        <v>3</v>
      </c>
      <c r="R12" s="1">
        <v>4.5</v>
      </c>
      <c r="S12" s="2">
        <v>3</v>
      </c>
      <c r="T12" s="1">
        <v>4</v>
      </c>
      <c r="U12" s="10">
        <v>3</v>
      </c>
      <c r="V12" s="1">
        <v>4.5</v>
      </c>
      <c r="W12" s="2">
        <v>0</v>
      </c>
      <c r="X12" s="1">
        <v>9</v>
      </c>
      <c r="Y12" s="2">
        <v>10</v>
      </c>
      <c r="Z12" s="1">
        <v>9</v>
      </c>
      <c r="AA12" s="2">
        <v>10</v>
      </c>
      <c r="AB12" s="3">
        <f t="shared" si="1"/>
        <v>70</v>
      </c>
      <c r="AC12" s="3">
        <f t="shared" si="0"/>
        <v>8</v>
      </c>
      <c r="AD12" t="s">
        <v>87</v>
      </c>
    </row>
    <row r="13" spans="1:30" ht="29" customHeight="1" x14ac:dyDescent="0.35">
      <c r="A13" s="39">
        <v>7</v>
      </c>
      <c r="B13" s="3">
        <v>10</v>
      </c>
      <c r="C13" s="20" t="s">
        <v>30</v>
      </c>
      <c r="D13" s="3">
        <v>234</v>
      </c>
      <c r="E13" s="3" t="s">
        <v>31</v>
      </c>
      <c r="F13" s="40" t="s">
        <v>50</v>
      </c>
      <c r="G13" s="35">
        <v>7</v>
      </c>
      <c r="H13" s="38" t="s">
        <v>96</v>
      </c>
      <c r="I13" s="35" t="s">
        <v>87</v>
      </c>
      <c r="J13" s="35" t="s">
        <v>87</v>
      </c>
      <c r="K13" s="35" t="s">
        <v>87</v>
      </c>
      <c r="L13" s="35" t="s">
        <v>87</v>
      </c>
      <c r="M13" s="35" t="s">
        <v>87</v>
      </c>
      <c r="N13" s="35" t="s">
        <v>87</v>
      </c>
      <c r="O13" s="44" t="s">
        <v>15</v>
      </c>
      <c r="P13" s="1">
        <v>10</v>
      </c>
      <c r="Q13" s="2">
        <v>5</v>
      </c>
      <c r="R13" s="1">
        <v>5</v>
      </c>
      <c r="S13" s="2">
        <v>5</v>
      </c>
      <c r="T13" s="1">
        <v>5</v>
      </c>
      <c r="U13" s="10">
        <v>5</v>
      </c>
      <c r="V13" s="1">
        <v>10</v>
      </c>
      <c r="W13" s="2">
        <v>5</v>
      </c>
      <c r="X13" s="1">
        <v>25</v>
      </c>
      <c r="Y13" s="2">
        <v>10</v>
      </c>
      <c r="Z13" s="1">
        <v>10</v>
      </c>
      <c r="AA13" s="2">
        <v>10</v>
      </c>
      <c r="AB13" s="3">
        <f t="shared" si="1"/>
        <v>105</v>
      </c>
      <c r="AC13" s="3">
        <f t="shared" si="0"/>
        <v>10</v>
      </c>
      <c r="AD13" t="s">
        <v>87</v>
      </c>
    </row>
    <row r="14" spans="1:30" x14ac:dyDescent="0.35">
      <c r="A14" s="39"/>
      <c r="B14" s="3">
        <v>11</v>
      </c>
      <c r="C14" s="20" t="s">
        <v>32</v>
      </c>
      <c r="D14" s="3">
        <v>239</v>
      </c>
      <c r="E14" s="3" t="s">
        <v>33</v>
      </c>
      <c r="F14" s="40"/>
      <c r="G14" s="37"/>
      <c r="H14" s="37"/>
      <c r="I14" s="37"/>
      <c r="J14" s="37"/>
      <c r="K14" s="37"/>
      <c r="L14" s="37"/>
      <c r="M14" s="37"/>
      <c r="N14" s="37"/>
      <c r="O14" s="45"/>
      <c r="P14" s="1">
        <v>10</v>
      </c>
      <c r="Q14" s="2">
        <v>5</v>
      </c>
      <c r="R14" s="1">
        <v>5</v>
      </c>
      <c r="S14" s="2">
        <v>5</v>
      </c>
      <c r="T14" s="1">
        <v>5</v>
      </c>
      <c r="U14" s="10">
        <v>5</v>
      </c>
      <c r="V14" s="1">
        <v>10</v>
      </c>
      <c r="W14" s="2">
        <v>5</v>
      </c>
      <c r="X14" s="1">
        <v>25</v>
      </c>
      <c r="Y14" s="2">
        <v>10</v>
      </c>
      <c r="Z14" s="1">
        <v>10</v>
      </c>
      <c r="AA14" s="2">
        <v>0</v>
      </c>
      <c r="AB14" s="3">
        <f t="shared" si="1"/>
        <v>95</v>
      </c>
      <c r="AC14" s="3">
        <f t="shared" si="0"/>
        <v>9</v>
      </c>
      <c r="AD14" t="s">
        <v>87</v>
      </c>
    </row>
    <row r="15" spans="1:30" ht="87" x14ac:dyDescent="0.35">
      <c r="A15" s="14">
        <v>8</v>
      </c>
      <c r="B15" s="3">
        <v>12</v>
      </c>
      <c r="C15" s="2" t="s">
        <v>34</v>
      </c>
      <c r="D15" s="3">
        <v>933</v>
      </c>
      <c r="E15" s="3" t="s">
        <v>35</v>
      </c>
      <c r="F15" s="12" t="s">
        <v>61</v>
      </c>
      <c r="G15" s="22">
        <v>8</v>
      </c>
      <c r="H15" s="12" t="s">
        <v>91</v>
      </c>
      <c r="I15" s="12" t="s">
        <v>87</v>
      </c>
      <c r="J15" s="12" t="s">
        <v>87</v>
      </c>
      <c r="K15" s="12" t="s">
        <v>87</v>
      </c>
      <c r="L15" s="12" t="s">
        <v>87</v>
      </c>
      <c r="M15" s="12" t="s">
        <v>87</v>
      </c>
      <c r="N15" s="12" t="s">
        <v>87</v>
      </c>
      <c r="O15" s="3" t="s">
        <v>10</v>
      </c>
      <c r="P15" s="1">
        <v>10</v>
      </c>
      <c r="Q15" s="2">
        <v>5</v>
      </c>
      <c r="R15" s="1">
        <v>5</v>
      </c>
      <c r="S15" s="2">
        <v>5</v>
      </c>
      <c r="T15" s="1">
        <v>5</v>
      </c>
      <c r="U15" s="10">
        <v>5</v>
      </c>
      <c r="V15" s="1">
        <v>10</v>
      </c>
      <c r="W15" s="2">
        <v>15</v>
      </c>
      <c r="X15" s="1">
        <v>15</v>
      </c>
      <c r="Y15" s="2">
        <v>10</v>
      </c>
      <c r="Z15" s="1">
        <v>10</v>
      </c>
      <c r="AA15" s="2">
        <v>10</v>
      </c>
      <c r="AB15" s="3">
        <f t="shared" si="1"/>
        <v>105</v>
      </c>
      <c r="AC15" s="3">
        <f t="shared" si="0"/>
        <v>10</v>
      </c>
      <c r="AD15" t="s">
        <v>87</v>
      </c>
    </row>
    <row r="16" spans="1:30" ht="72.5" customHeight="1" x14ac:dyDescent="0.35">
      <c r="A16" s="39">
        <v>9</v>
      </c>
      <c r="B16" s="3">
        <v>13</v>
      </c>
      <c r="C16" s="1" t="s">
        <v>64</v>
      </c>
      <c r="D16" s="3">
        <v>236</v>
      </c>
      <c r="E16" s="3" t="s">
        <v>36</v>
      </c>
      <c r="F16" s="40" t="s">
        <v>9</v>
      </c>
      <c r="G16" s="35">
        <v>9</v>
      </c>
      <c r="H16" s="35" t="s">
        <v>75</v>
      </c>
      <c r="I16" s="35" t="s">
        <v>87</v>
      </c>
      <c r="J16" s="35" t="s">
        <v>87</v>
      </c>
      <c r="K16" s="35" t="s">
        <v>87</v>
      </c>
      <c r="L16" s="35" t="s">
        <v>87</v>
      </c>
      <c r="M16" s="35" t="s">
        <v>87</v>
      </c>
      <c r="N16" s="35" t="s">
        <v>87</v>
      </c>
      <c r="O16" s="43" t="s">
        <v>10</v>
      </c>
      <c r="P16" s="1">
        <v>10</v>
      </c>
      <c r="Q16" s="2">
        <v>5</v>
      </c>
      <c r="R16" s="1">
        <v>5</v>
      </c>
      <c r="S16" s="2">
        <v>5</v>
      </c>
      <c r="T16" s="1">
        <v>5</v>
      </c>
      <c r="U16" s="10">
        <v>5</v>
      </c>
      <c r="V16" s="1">
        <v>10</v>
      </c>
      <c r="W16" s="2">
        <v>15</v>
      </c>
      <c r="X16" s="1">
        <v>25</v>
      </c>
      <c r="Y16" s="2">
        <v>10</v>
      </c>
      <c r="Z16" s="1">
        <v>10</v>
      </c>
      <c r="AA16" s="2">
        <v>15</v>
      </c>
      <c r="AB16" s="3">
        <f t="shared" si="1"/>
        <v>120</v>
      </c>
      <c r="AC16" s="3">
        <f t="shared" si="0"/>
        <v>10</v>
      </c>
      <c r="AD16" t="s">
        <v>87</v>
      </c>
    </row>
    <row r="17" spans="1:30" x14ac:dyDescent="0.35">
      <c r="A17" s="39"/>
      <c r="B17" s="3">
        <v>14</v>
      </c>
      <c r="C17" s="1" t="s">
        <v>62</v>
      </c>
      <c r="D17" s="3">
        <v>237</v>
      </c>
      <c r="E17" s="3" t="s">
        <v>37</v>
      </c>
      <c r="F17" s="40"/>
      <c r="G17" s="36"/>
      <c r="H17" s="36"/>
      <c r="I17" s="36"/>
      <c r="J17" s="36"/>
      <c r="K17" s="36"/>
      <c r="L17" s="36"/>
      <c r="M17" s="36"/>
      <c r="N17" s="36"/>
      <c r="O17" s="43"/>
      <c r="P17" s="1">
        <v>10</v>
      </c>
      <c r="Q17" s="2">
        <v>5</v>
      </c>
      <c r="R17" s="1">
        <v>5</v>
      </c>
      <c r="S17" s="2">
        <v>5</v>
      </c>
      <c r="T17" s="1">
        <v>5</v>
      </c>
      <c r="U17" s="10">
        <v>5</v>
      </c>
      <c r="V17" s="1">
        <v>10</v>
      </c>
      <c r="W17" s="2">
        <v>15</v>
      </c>
      <c r="X17" s="1">
        <v>25</v>
      </c>
      <c r="Y17" s="2">
        <v>10</v>
      </c>
      <c r="Z17" s="1">
        <v>10</v>
      </c>
      <c r="AA17" s="2">
        <v>15</v>
      </c>
      <c r="AB17" s="3">
        <f t="shared" si="1"/>
        <v>120</v>
      </c>
      <c r="AC17" s="3">
        <f t="shared" si="0"/>
        <v>10</v>
      </c>
      <c r="AD17" t="s">
        <v>87</v>
      </c>
    </row>
    <row r="18" spans="1:30" x14ac:dyDescent="0.35">
      <c r="A18" s="39"/>
      <c r="B18" s="3">
        <v>15</v>
      </c>
      <c r="C18" s="1" t="s">
        <v>63</v>
      </c>
      <c r="D18" s="3">
        <v>234</v>
      </c>
      <c r="E18" s="3" t="s">
        <v>38</v>
      </c>
      <c r="F18" s="40"/>
      <c r="G18" s="37"/>
      <c r="H18" s="37"/>
      <c r="I18" s="37"/>
      <c r="J18" s="37"/>
      <c r="K18" s="37"/>
      <c r="L18" s="37"/>
      <c r="M18" s="37"/>
      <c r="N18" s="37"/>
      <c r="O18" s="43"/>
      <c r="P18" s="1">
        <v>10</v>
      </c>
      <c r="Q18" s="2">
        <v>5</v>
      </c>
      <c r="R18" s="1">
        <v>5</v>
      </c>
      <c r="S18" s="2">
        <v>5</v>
      </c>
      <c r="T18" s="1">
        <v>5</v>
      </c>
      <c r="U18" s="10">
        <v>5</v>
      </c>
      <c r="V18" s="1">
        <v>10</v>
      </c>
      <c r="W18" s="2">
        <v>15</v>
      </c>
      <c r="X18" s="1">
        <v>25</v>
      </c>
      <c r="Y18" s="2">
        <v>10</v>
      </c>
      <c r="Z18" s="1">
        <v>10</v>
      </c>
      <c r="AA18" s="2">
        <v>15</v>
      </c>
      <c r="AB18" s="3">
        <f t="shared" si="1"/>
        <v>120</v>
      </c>
      <c r="AC18" s="3">
        <f t="shared" si="0"/>
        <v>10</v>
      </c>
      <c r="AD18" t="s">
        <v>87</v>
      </c>
    </row>
    <row r="19" spans="1:30" ht="43.5" customHeight="1" x14ac:dyDescent="0.35">
      <c r="A19" s="3">
        <v>10</v>
      </c>
      <c r="B19" s="3">
        <v>16</v>
      </c>
      <c r="C19" s="1" t="s">
        <v>39</v>
      </c>
      <c r="D19" s="3">
        <v>233</v>
      </c>
      <c r="E19" s="18" t="s">
        <v>40</v>
      </c>
      <c r="F19" s="35" t="s">
        <v>92</v>
      </c>
      <c r="G19" s="51">
        <v>10</v>
      </c>
      <c r="H19" s="38" t="s">
        <v>97</v>
      </c>
      <c r="I19" s="35" t="s">
        <v>87</v>
      </c>
      <c r="J19" s="35" t="s">
        <v>87</v>
      </c>
      <c r="K19" s="35" t="s">
        <v>87</v>
      </c>
      <c r="L19" s="35" t="s">
        <v>49</v>
      </c>
      <c r="M19" s="35" t="s">
        <v>49</v>
      </c>
      <c r="N19" s="35" t="s">
        <v>49</v>
      </c>
      <c r="O19" s="39" t="s">
        <v>10</v>
      </c>
      <c r="P19" s="1">
        <v>10</v>
      </c>
      <c r="Q19" s="2">
        <v>5</v>
      </c>
      <c r="R19" s="1">
        <v>5</v>
      </c>
      <c r="S19" s="2">
        <v>5</v>
      </c>
      <c r="T19" s="1">
        <v>5</v>
      </c>
      <c r="U19" s="10" t="s">
        <v>49</v>
      </c>
      <c r="V19" s="1">
        <v>10</v>
      </c>
      <c r="W19" s="2" t="s">
        <v>49</v>
      </c>
      <c r="X19" s="1">
        <v>25</v>
      </c>
      <c r="Y19" s="2" t="s">
        <v>49</v>
      </c>
      <c r="Z19" s="1">
        <v>10</v>
      </c>
      <c r="AA19" s="2">
        <v>10</v>
      </c>
      <c r="AB19" s="3">
        <f t="shared" si="1"/>
        <v>85</v>
      </c>
      <c r="AC19" s="3">
        <f t="shared" si="0"/>
        <v>8</v>
      </c>
      <c r="AD19" t="s">
        <v>87</v>
      </c>
    </row>
    <row r="20" spans="1:30" x14ac:dyDescent="0.35">
      <c r="A20" s="3"/>
      <c r="B20" s="3">
        <v>17</v>
      </c>
      <c r="C20" s="1" t="s">
        <v>41</v>
      </c>
      <c r="D20" s="3">
        <v>235</v>
      </c>
      <c r="E20" s="3" t="s">
        <v>42</v>
      </c>
      <c r="F20" s="36"/>
      <c r="G20" s="53"/>
      <c r="H20" s="36"/>
      <c r="I20" s="36"/>
      <c r="J20" s="36"/>
      <c r="K20" s="36"/>
      <c r="L20" s="36"/>
      <c r="M20" s="36"/>
      <c r="N20" s="36"/>
      <c r="O20" s="39"/>
      <c r="P20" s="1">
        <v>10</v>
      </c>
      <c r="Q20" s="2">
        <v>5</v>
      </c>
      <c r="R20" s="1">
        <v>5</v>
      </c>
      <c r="S20" s="2">
        <v>5</v>
      </c>
      <c r="T20" s="1">
        <v>5</v>
      </c>
      <c r="U20" s="10" t="s">
        <v>49</v>
      </c>
      <c r="V20" s="1">
        <v>10</v>
      </c>
      <c r="W20" s="2" t="s">
        <v>49</v>
      </c>
      <c r="X20" s="1">
        <v>25</v>
      </c>
      <c r="Y20" s="2" t="s">
        <v>49</v>
      </c>
      <c r="Z20" s="1">
        <v>10</v>
      </c>
      <c r="AA20" s="2">
        <v>10</v>
      </c>
      <c r="AB20" s="3">
        <f t="shared" si="1"/>
        <v>85</v>
      </c>
      <c r="AC20" s="3">
        <f t="shared" si="0"/>
        <v>8</v>
      </c>
      <c r="AD20" t="s">
        <v>87</v>
      </c>
    </row>
    <row r="21" spans="1:30" x14ac:dyDescent="0.35">
      <c r="A21" s="3"/>
      <c r="B21" s="3">
        <v>18</v>
      </c>
      <c r="C21" s="1" t="s">
        <v>43</v>
      </c>
      <c r="D21" s="3">
        <v>233</v>
      </c>
      <c r="E21" s="18" t="s">
        <v>44</v>
      </c>
      <c r="F21" s="37"/>
      <c r="G21" s="52"/>
      <c r="H21" s="37"/>
      <c r="I21" s="37"/>
      <c r="J21" s="37"/>
      <c r="K21" s="37"/>
      <c r="L21" s="37"/>
      <c r="M21" s="37"/>
      <c r="N21" s="37"/>
      <c r="O21" s="39"/>
      <c r="P21" s="1">
        <v>10</v>
      </c>
      <c r="Q21" s="2">
        <v>5</v>
      </c>
      <c r="R21" s="1">
        <v>5</v>
      </c>
      <c r="S21" s="2">
        <v>5</v>
      </c>
      <c r="T21" s="1">
        <v>5</v>
      </c>
      <c r="U21" s="10" t="s">
        <v>49</v>
      </c>
      <c r="V21" s="1">
        <v>10</v>
      </c>
      <c r="W21" s="2" t="s">
        <v>49</v>
      </c>
      <c r="X21" s="1">
        <v>25</v>
      </c>
      <c r="Y21" s="2" t="s">
        <v>49</v>
      </c>
      <c r="Z21" s="1">
        <v>10</v>
      </c>
      <c r="AA21" s="2">
        <v>10</v>
      </c>
      <c r="AB21" s="3">
        <f t="shared" si="1"/>
        <v>85</v>
      </c>
      <c r="AC21" s="3">
        <f t="shared" si="0"/>
        <v>8</v>
      </c>
      <c r="AD21" t="s">
        <v>87</v>
      </c>
    </row>
    <row r="22" spans="1:30" ht="72.5" x14ac:dyDescent="0.35">
      <c r="A22" s="14">
        <v>11</v>
      </c>
      <c r="B22" s="3">
        <v>19</v>
      </c>
      <c r="C22" s="21" t="s">
        <v>45</v>
      </c>
      <c r="D22" s="3">
        <v>236</v>
      </c>
      <c r="E22" s="3" t="s">
        <v>46</v>
      </c>
      <c r="F22" s="12" t="s">
        <v>54</v>
      </c>
      <c r="G22" s="12">
        <v>11</v>
      </c>
      <c r="H22" s="12" t="s">
        <v>85</v>
      </c>
      <c r="I22" s="12" t="s">
        <v>87</v>
      </c>
      <c r="J22" s="12" t="s">
        <v>87</v>
      </c>
      <c r="K22" s="12" t="s">
        <v>87</v>
      </c>
      <c r="L22" s="12" t="s">
        <v>87</v>
      </c>
      <c r="M22" s="12" t="s">
        <v>87</v>
      </c>
      <c r="N22" s="12" t="s">
        <v>87</v>
      </c>
      <c r="O22" s="3" t="s">
        <v>15</v>
      </c>
      <c r="P22" s="1">
        <v>10</v>
      </c>
      <c r="Q22" s="2">
        <v>5</v>
      </c>
      <c r="R22" s="1">
        <v>5</v>
      </c>
      <c r="S22" s="2">
        <v>5</v>
      </c>
      <c r="T22" s="1">
        <v>5</v>
      </c>
      <c r="U22" s="10">
        <v>5</v>
      </c>
      <c r="V22" s="1">
        <v>10</v>
      </c>
      <c r="W22" s="2">
        <v>15</v>
      </c>
      <c r="X22" s="1">
        <v>25</v>
      </c>
      <c r="Y22" s="2">
        <v>10</v>
      </c>
      <c r="Z22" s="1">
        <v>10</v>
      </c>
      <c r="AA22" s="2">
        <v>10</v>
      </c>
      <c r="AB22" s="3">
        <f t="shared" si="1"/>
        <v>115</v>
      </c>
      <c r="AC22" s="3">
        <f t="shared" si="0"/>
        <v>10</v>
      </c>
      <c r="AD22" t="s">
        <v>87</v>
      </c>
    </row>
    <row r="23" spans="1:30" ht="72.5" x14ac:dyDescent="0.35">
      <c r="A23" s="3">
        <v>12</v>
      </c>
      <c r="B23" s="3">
        <v>20</v>
      </c>
      <c r="C23" s="2" t="s">
        <v>51</v>
      </c>
      <c r="D23" s="3">
        <v>933</v>
      </c>
      <c r="E23" s="18" t="s">
        <v>53</v>
      </c>
      <c r="F23" s="12" t="s">
        <v>52</v>
      </c>
      <c r="G23" s="12">
        <v>12</v>
      </c>
      <c r="H23" s="12" t="s">
        <v>103</v>
      </c>
      <c r="I23" s="12" t="s">
        <v>87</v>
      </c>
      <c r="J23" s="12" t="s">
        <v>87</v>
      </c>
      <c r="K23" s="12" t="s">
        <v>87</v>
      </c>
      <c r="L23" s="12" t="s">
        <v>87</v>
      </c>
      <c r="M23" s="12" t="s">
        <v>87</v>
      </c>
      <c r="N23" s="12" t="s">
        <v>87</v>
      </c>
      <c r="O23" s="3" t="s">
        <v>10</v>
      </c>
      <c r="P23" s="1">
        <v>10</v>
      </c>
      <c r="Q23" s="2">
        <v>5</v>
      </c>
      <c r="R23" s="1">
        <v>5</v>
      </c>
      <c r="S23" s="2">
        <v>4.5</v>
      </c>
      <c r="T23" s="1">
        <v>4.5</v>
      </c>
      <c r="U23" s="10">
        <v>4.5</v>
      </c>
      <c r="V23" s="1">
        <v>10</v>
      </c>
      <c r="W23" s="2">
        <v>10</v>
      </c>
      <c r="X23" s="1">
        <v>20</v>
      </c>
      <c r="Y23" s="2">
        <v>10</v>
      </c>
      <c r="Z23" s="1">
        <v>10</v>
      </c>
      <c r="AA23" s="2">
        <v>10</v>
      </c>
      <c r="AB23" s="3">
        <f t="shared" si="1"/>
        <v>103.5</v>
      </c>
      <c r="AC23" s="3">
        <f t="shared" si="0"/>
        <v>10</v>
      </c>
      <c r="AD23" t="s">
        <v>87</v>
      </c>
    </row>
    <row r="24" spans="1:30" ht="58" x14ac:dyDescent="0.35">
      <c r="A24" s="3">
        <v>13</v>
      </c>
      <c r="B24" s="3">
        <v>21</v>
      </c>
      <c r="C24" s="1" t="s">
        <v>58</v>
      </c>
      <c r="D24" s="3">
        <v>233</v>
      </c>
      <c r="E24" s="3" t="s">
        <v>59</v>
      </c>
      <c r="F24" s="12" t="s">
        <v>60</v>
      </c>
      <c r="G24" s="34">
        <v>13</v>
      </c>
      <c r="H24" s="12" t="s">
        <v>98</v>
      </c>
      <c r="I24" s="12" t="s">
        <v>87</v>
      </c>
      <c r="J24" s="12" t="s">
        <v>87</v>
      </c>
      <c r="K24" s="12" t="s">
        <v>87</v>
      </c>
      <c r="L24" s="12" t="s">
        <v>87</v>
      </c>
      <c r="M24" s="12" t="s">
        <v>87</v>
      </c>
      <c r="N24" s="12" t="s">
        <v>87</v>
      </c>
      <c r="O24" s="3" t="s">
        <v>10</v>
      </c>
      <c r="P24" s="1">
        <v>10</v>
      </c>
      <c r="Q24" s="2">
        <v>5</v>
      </c>
      <c r="R24" s="1">
        <v>5</v>
      </c>
      <c r="S24" s="2">
        <v>5</v>
      </c>
      <c r="T24" s="1">
        <v>4.5</v>
      </c>
      <c r="U24" s="10">
        <v>3</v>
      </c>
      <c r="V24" s="1">
        <v>10</v>
      </c>
      <c r="W24" s="2">
        <v>3</v>
      </c>
      <c r="X24" s="1">
        <v>10</v>
      </c>
      <c r="Y24" s="19">
        <v>10</v>
      </c>
      <c r="Z24" s="1">
        <v>10</v>
      </c>
      <c r="AA24" s="2">
        <v>9</v>
      </c>
      <c r="AB24" s="3">
        <f t="shared" si="1"/>
        <v>84.5</v>
      </c>
      <c r="AC24" s="3">
        <f t="shared" si="0"/>
        <v>8</v>
      </c>
      <c r="AD24" t="s">
        <v>87</v>
      </c>
    </row>
    <row r="25" spans="1:30" ht="58" x14ac:dyDescent="0.35">
      <c r="A25" s="3">
        <v>14</v>
      </c>
      <c r="B25" s="3">
        <v>22</v>
      </c>
      <c r="C25" s="21" t="s">
        <v>65</v>
      </c>
      <c r="D25" s="3" t="s">
        <v>66</v>
      </c>
      <c r="E25" s="18" t="s">
        <v>67</v>
      </c>
      <c r="F25" s="12" t="s">
        <v>68</v>
      </c>
      <c r="G25" s="34">
        <v>14</v>
      </c>
      <c r="H25" s="12" t="s">
        <v>99</v>
      </c>
      <c r="I25" s="12" t="s">
        <v>87</v>
      </c>
      <c r="J25" s="12" t="s">
        <v>87</v>
      </c>
      <c r="K25" s="12" t="s">
        <v>87</v>
      </c>
      <c r="L25" s="12" t="s">
        <v>87</v>
      </c>
      <c r="M25" s="12" t="s">
        <v>49</v>
      </c>
      <c r="N25" s="12" t="s">
        <v>87</v>
      </c>
      <c r="O25" s="3" t="s">
        <v>15</v>
      </c>
      <c r="P25" s="1">
        <v>10</v>
      </c>
      <c r="Q25" s="2">
        <v>5</v>
      </c>
      <c r="R25" s="1">
        <v>4.5</v>
      </c>
      <c r="S25" s="2">
        <v>4.5</v>
      </c>
      <c r="T25" s="1">
        <v>4.5</v>
      </c>
      <c r="U25" s="10">
        <v>4.5</v>
      </c>
      <c r="V25" s="1">
        <v>10</v>
      </c>
      <c r="W25" s="2">
        <v>5</v>
      </c>
      <c r="X25" s="1">
        <v>10</v>
      </c>
      <c r="Y25" s="2">
        <v>10</v>
      </c>
      <c r="Z25" s="1">
        <v>10</v>
      </c>
      <c r="AA25" s="2">
        <v>10</v>
      </c>
      <c r="AB25" s="3">
        <f t="shared" si="1"/>
        <v>88</v>
      </c>
      <c r="AC25" s="3">
        <f t="shared" si="0"/>
        <v>8</v>
      </c>
      <c r="AD25" t="s">
        <v>87</v>
      </c>
    </row>
    <row r="26" spans="1:30" x14ac:dyDescent="0.35">
      <c r="P26" s="6"/>
      <c r="Q26" s="7"/>
    </row>
  </sheetData>
  <autoFilter ref="A3:AD25" xr:uid="{00000000-0001-0000-0000-000000000000}"/>
  <mergeCells count="75">
    <mergeCell ref="F19:F21"/>
    <mergeCell ref="G4:G5"/>
    <mergeCell ref="G9:G10"/>
    <mergeCell ref="G11:G12"/>
    <mergeCell ref="G13:G14"/>
    <mergeCell ref="G16:G18"/>
    <mergeCell ref="F13:F14"/>
    <mergeCell ref="F16:F18"/>
    <mergeCell ref="G19:G21"/>
    <mergeCell ref="P1:Q1"/>
    <mergeCell ref="R1:S1"/>
    <mergeCell ref="H9:H10"/>
    <mergeCell ref="H11:H12"/>
    <mergeCell ref="H13:H14"/>
    <mergeCell ref="K9:K10"/>
    <mergeCell ref="L9:L10"/>
    <mergeCell ref="I13:I14"/>
    <mergeCell ref="J13:J14"/>
    <mergeCell ref="K13:K14"/>
    <mergeCell ref="L13:L14"/>
    <mergeCell ref="M9:M10"/>
    <mergeCell ref="N9:N10"/>
    <mergeCell ref="I11:I12"/>
    <mergeCell ref="J11:J12"/>
    <mergeCell ref="K11:K12"/>
    <mergeCell ref="H16:H18"/>
    <mergeCell ref="O13:O14"/>
    <mergeCell ref="Z1:AA1"/>
    <mergeCell ref="H4:H5"/>
    <mergeCell ref="I2:K2"/>
    <mergeCell ref="L2:N2"/>
    <mergeCell ref="H2:H3"/>
    <mergeCell ref="O1:O3"/>
    <mergeCell ref="I4:I5"/>
    <mergeCell ref="J4:J5"/>
    <mergeCell ref="K4:K5"/>
    <mergeCell ref="L4:L5"/>
    <mergeCell ref="M4:M5"/>
    <mergeCell ref="N4:N5"/>
    <mergeCell ref="I9:I10"/>
    <mergeCell ref="J9:J10"/>
    <mergeCell ref="A9:A10"/>
    <mergeCell ref="O19:O21"/>
    <mergeCell ref="V1:W1"/>
    <mergeCell ref="X1:Y1"/>
    <mergeCell ref="F9:F10"/>
    <mergeCell ref="A4:A5"/>
    <mergeCell ref="T1:U1"/>
    <mergeCell ref="A16:A18"/>
    <mergeCell ref="A11:A12"/>
    <mergeCell ref="A13:A14"/>
    <mergeCell ref="O4:O5"/>
    <mergeCell ref="O9:O10"/>
    <mergeCell ref="O16:O18"/>
    <mergeCell ref="O11:O12"/>
    <mergeCell ref="F4:F5"/>
    <mergeCell ref="F11:F12"/>
    <mergeCell ref="I19:I21"/>
    <mergeCell ref="J19:J21"/>
    <mergeCell ref="K19:K21"/>
    <mergeCell ref="L19:L21"/>
    <mergeCell ref="H19:H21"/>
    <mergeCell ref="L11:L12"/>
    <mergeCell ref="M11:M12"/>
    <mergeCell ref="N11:N12"/>
    <mergeCell ref="M19:M21"/>
    <mergeCell ref="N19:N21"/>
    <mergeCell ref="M13:M14"/>
    <mergeCell ref="N13:N14"/>
    <mergeCell ref="N16:N18"/>
    <mergeCell ref="I16:I18"/>
    <mergeCell ref="J16:J18"/>
    <mergeCell ref="K16:K18"/>
    <mergeCell ref="L16:L18"/>
    <mergeCell ref="M16:M18"/>
  </mergeCells>
  <hyperlinks>
    <hyperlink ref="H9" r:id="rId1" xr:uid="{B3D247C3-8D72-489C-8AA0-86FC7D2ABCEB}"/>
    <hyperlink ref="H4" r:id="rId2" xr:uid="{D1C1B849-E193-40C2-AABE-E43E9ED2FA93}"/>
    <hyperlink ref="H11" r:id="rId3" xr:uid="{7DF03E68-A862-4D56-A3C4-3811B3CDFBF0}"/>
    <hyperlink ref="H13" r:id="rId4" xr:uid="{CF5215B5-3AA3-4F67-81D1-6E708397B285}"/>
    <hyperlink ref="H19" r:id="rId5" xr:uid="{5FD6CDD0-7F41-4115-9D6B-C6490E8DDACA}"/>
  </hyperlinks>
  <pageMargins left="0.7" right="0.7" top="0.75" bottom="0.75" header="0.3" footer="0.3"/>
  <pageSetup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85ABA-A25E-4B8B-BAD4-DE0FF6BEC776}">
  <dimension ref="B2:D10"/>
  <sheetViews>
    <sheetView zoomScale="130" zoomScaleNormal="130" workbookViewId="0">
      <selection activeCell="B5" sqref="B5"/>
    </sheetView>
  </sheetViews>
  <sheetFormatPr defaultRowHeight="14.5" x14ac:dyDescent="0.35"/>
  <cols>
    <col min="4" max="4" width="10.26953125" bestFit="1" customWidth="1"/>
  </cols>
  <sheetData>
    <row r="2" spans="2:4" x14ac:dyDescent="0.35">
      <c r="B2" t="s">
        <v>100</v>
      </c>
    </row>
    <row r="3" spans="2:4" x14ac:dyDescent="0.35">
      <c r="B3" t="s">
        <v>101</v>
      </c>
    </row>
    <row r="4" spans="2:4" x14ac:dyDescent="0.35">
      <c r="B4" t="s">
        <v>102</v>
      </c>
      <c r="D4" s="8"/>
    </row>
    <row r="5" spans="2:4" x14ac:dyDescent="0.35">
      <c r="D5" s="8"/>
    </row>
    <row r="6" spans="2:4" x14ac:dyDescent="0.35">
      <c r="D6" s="8"/>
    </row>
    <row r="7" spans="2:4" x14ac:dyDescent="0.35">
      <c r="D7" s="8"/>
    </row>
    <row r="8" spans="2:4" x14ac:dyDescent="0.35">
      <c r="D8" s="8"/>
    </row>
    <row r="9" spans="2:4" x14ac:dyDescent="0.35">
      <c r="D9" s="8"/>
    </row>
    <row r="10" spans="2:4" x14ac:dyDescent="0.35">
      <c r="D10" s="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40B684B8271547A8ED2AAE4C70548F" ma:contentTypeVersion="8" ma:contentTypeDescription="Create a new document." ma:contentTypeScope="" ma:versionID="f2170f8d211045cc9dfa01f1b10f2a75">
  <xsd:schema xmlns:xsd="http://www.w3.org/2001/XMLSchema" xmlns:xs="http://www.w3.org/2001/XMLSchema" xmlns:p="http://schemas.microsoft.com/office/2006/metadata/properties" xmlns:ns2="515eb833-3192-4da0-85b5-bc0c0a72e740" targetNamespace="http://schemas.microsoft.com/office/2006/metadata/properties" ma:root="true" ma:fieldsID="25ceb45fa229a020ef1b0537979a6f5d" ns2:_="">
    <xsd:import namespace="515eb833-3192-4da0-85b5-bc0c0a72e7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5eb833-3192-4da0-85b5-bc0c0a72e7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505017D-1589-45F7-AEEC-01F1868BC5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15eb833-3192-4da0-85b5-bc0c0a72e74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57851E5-5DB9-4170-975D-62D75BB1E9B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A96C3AE-938C-478C-96F1-7D66299742B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remarks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LAURA SILVIA DIOSAN</cp:lastModifiedBy>
  <cp:revision/>
  <dcterms:created xsi:type="dcterms:W3CDTF">2023-10-09T07:10:34Z</dcterms:created>
  <dcterms:modified xsi:type="dcterms:W3CDTF">2024-01-24T05:21:35Z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0x010100F240B684B8271547A8ED2AAE4C70548F</vt:lpwstr>
  </property>
</Properties>
</file>