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_Work\School\MIRPR-UBB\2024-2025\Projects\"/>
    </mc:Choice>
  </mc:AlternateContent>
  <xr:revisionPtr revIDLastSave="0" documentId="13_ncr:1_{FECDA0C4-6C1A-4139-90D7-DDB9B902E5B8}" xr6:coauthVersionLast="47" xr6:coauthVersionMax="47" xr10:uidLastSave="{00000000-0000-0000-0000-000000000000}"/>
  <bookViews>
    <workbookView xWindow="19090" yWindow="-110" windowWidth="38620" windowHeight="21100" xr2:uid="{2DD5756E-3A70-C04D-9557-ADE9A6D6A6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/>
  <c r="I2" i="2"/>
  <c r="J2" i="2"/>
  <c r="K2" i="2"/>
  <c r="M2" i="2"/>
  <c r="F3" i="2"/>
  <c r="G3" i="2"/>
  <c r="I3" i="2"/>
  <c r="J3" i="2"/>
  <c r="K3" i="2"/>
  <c r="M3" i="2"/>
  <c r="F4" i="2"/>
  <c r="G4" i="2"/>
  <c r="I4" i="2"/>
  <c r="J4" i="2"/>
  <c r="K4" i="2"/>
  <c r="M4" i="2"/>
  <c r="F5" i="2"/>
  <c r="G5" i="2"/>
  <c r="I5" i="2"/>
  <c r="J5" i="2"/>
  <c r="K5" i="2"/>
  <c r="M5" i="2"/>
  <c r="F6" i="2"/>
  <c r="G6" i="2"/>
  <c r="I6" i="2"/>
  <c r="J6" i="2"/>
  <c r="K6" i="2"/>
  <c r="M6" i="2"/>
  <c r="F7" i="2"/>
  <c r="G7" i="2"/>
  <c r="I7" i="2"/>
  <c r="J7" i="2"/>
  <c r="K7" i="2"/>
  <c r="M7" i="2"/>
  <c r="F8" i="2"/>
  <c r="G8" i="2"/>
  <c r="I8" i="2"/>
  <c r="J8" i="2"/>
  <c r="K8" i="2"/>
  <c r="M8" i="2"/>
  <c r="F9" i="2"/>
  <c r="G9" i="2"/>
  <c r="I9" i="2"/>
  <c r="J9" i="2"/>
  <c r="K9" i="2"/>
  <c r="M9" i="2"/>
  <c r="F10" i="2"/>
  <c r="G10" i="2"/>
  <c r="I10" i="2"/>
  <c r="J10" i="2"/>
  <c r="K10" i="2"/>
  <c r="M10" i="2"/>
  <c r="F11" i="2"/>
  <c r="G11" i="2"/>
  <c r="I11" i="2"/>
  <c r="J11" i="2"/>
  <c r="K11" i="2"/>
  <c r="M11" i="2"/>
  <c r="F12" i="2"/>
  <c r="G12" i="2"/>
  <c r="I12" i="2"/>
  <c r="J12" i="2"/>
  <c r="K12" i="2"/>
  <c r="M12" i="2"/>
  <c r="F13" i="2"/>
  <c r="G13" i="2"/>
  <c r="I13" i="2"/>
  <c r="J13" i="2"/>
  <c r="K13" i="2"/>
  <c r="M13" i="2"/>
  <c r="F14" i="2"/>
  <c r="G14" i="2"/>
  <c r="I14" i="2"/>
  <c r="J14" i="2"/>
  <c r="K14" i="2"/>
  <c r="M14" i="2"/>
  <c r="F15" i="2"/>
  <c r="G15" i="2"/>
  <c r="I15" i="2"/>
  <c r="J15" i="2"/>
  <c r="K15" i="2"/>
  <c r="M15" i="2"/>
  <c r="F16" i="2"/>
  <c r="G16" i="2"/>
  <c r="I16" i="2"/>
  <c r="J16" i="2"/>
  <c r="K16" i="2"/>
  <c r="M16" i="2"/>
  <c r="F17" i="2"/>
  <c r="G17" i="2"/>
  <c r="I17" i="2"/>
  <c r="J17" i="2"/>
  <c r="K17" i="2"/>
  <c r="M17" i="2"/>
  <c r="F18" i="2"/>
  <c r="G18" i="2"/>
  <c r="I18" i="2"/>
  <c r="J18" i="2"/>
  <c r="K18" i="2"/>
  <c r="M18" i="2"/>
  <c r="F19" i="2"/>
  <c r="G19" i="2"/>
  <c r="I19" i="2"/>
  <c r="J19" i="2"/>
  <c r="K19" i="2"/>
  <c r="M19" i="2"/>
  <c r="F20" i="2"/>
  <c r="G20" i="2"/>
  <c r="I20" i="2"/>
  <c r="J20" i="2"/>
  <c r="K20" i="2"/>
  <c r="M20" i="2"/>
  <c r="F21" i="2"/>
  <c r="G21" i="2"/>
  <c r="I21" i="2"/>
  <c r="J21" i="2"/>
  <c r="K21" i="2"/>
  <c r="M21" i="2"/>
  <c r="F22" i="2"/>
  <c r="G22" i="2"/>
  <c r="I22" i="2"/>
  <c r="J22" i="2"/>
  <c r="K22" i="2"/>
  <c r="M22" i="2"/>
  <c r="F23" i="2"/>
  <c r="G23" i="2"/>
  <c r="I23" i="2"/>
  <c r="J23" i="2"/>
  <c r="K23" i="2"/>
  <c r="M23" i="2"/>
  <c r="F24" i="2"/>
  <c r="G24" i="2"/>
  <c r="I24" i="2"/>
  <c r="J24" i="2"/>
  <c r="K24" i="2"/>
  <c r="M24" i="2"/>
  <c r="F25" i="2"/>
  <c r="G25" i="2"/>
  <c r="I25" i="2"/>
  <c r="J25" i="2"/>
  <c r="K25" i="2"/>
  <c r="M25" i="2"/>
  <c r="F26" i="2"/>
  <c r="G26" i="2"/>
  <c r="I26" i="2"/>
  <c r="J26" i="2"/>
  <c r="K26" i="2"/>
  <c r="M26" i="2"/>
  <c r="F27" i="2"/>
  <c r="G27" i="2"/>
  <c r="I27" i="2"/>
  <c r="J27" i="2"/>
  <c r="K27" i="2"/>
  <c r="M27" i="2"/>
  <c r="F28" i="2"/>
  <c r="G28" i="2"/>
  <c r="I28" i="2"/>
  <c r="J28" i="2"/>
  <c r="K28" i="2"/>
  <c r="M28" i="2"/>
  <c r="F29" i="2"/>
  <c r="G29" i="2"/>
  <c r="I29" i="2"/>
  <c r="J29" i="2"/>
  <c r="K29" i="2"/>
  <c r="M29" i="2"/>
  <c r="F30" i="2"/>
  <c r="G30" i="2"/>
  <c r="I30" i="2"/>
  <c r="J30" i="2"/>
  <c r="K30" i="2"/>
  <c r="M30" i="2"/>
  <c r="F31" i="2"/>
  <c r="G31" i="2"/>
  <c r="I31" i="2"/>
  <c r="J31" i="2"/>
  <c r="K31" i="2"/>
  <c r="M31" i="2"/>
  <c r="F32" i="2"/>
  <c r="G32" i="2"/>
  <c r="I32" i="2"/>
  <c r="J32" i="2"/>
  <c r="K32" i="2"/>
  <c r="M32" i="2"/>
  <c r="F33" i="2"/>
  <c r="G33" i="2"/>
  <c r="I33" i="2"/>
  <c r="J33" i="2"/>
  <c r="K33" i="2"/>
  <c r="M33" i="2"/>
  <c r="F34" i="2"/>
  <c r="G34" i="2"/>
  <c r="I34" i="2"/>
  <c r="J34" i="2"/>
  <c r="K34" i="2"/>
  <c r="M34" i="2"/>
  <c r="F35" i="2"/>
  <c r="G35" i="2"/>
  <c r="I35" i="2"/>
  <c r="J35" i="2"/>
  <c r="K35" i="2"/>
  <c r="M35" i="2"/>
  <c r="F36" i="2"/>
  <c r="G36" i="2"/>
  <c r="I36" i="2"/>
  <c r="J36" i="2"/>
  <c r="K36" i="2"/>
  <c r="M36" i="2"/>
  <c r="F37" i="2"/>
  <c r="G37" i="2"/>
  <c r="I37" i="2"/>
  <c r="J37" i="2"/>
  <c r="K37" i="2"/>
  <c r="M37" i="2"/>
  <c r="F38" i="2"/>
  <c r="G38" i="2"/>
  <c r="I38" i="2"/>
  <c r="J38" i="2"/>
  <c r="K38" i="2"/>
  <c r="M38" i="2"/>
  <c r="F39" i="2"/>
  <c r="G39" i="2"/>
  <c r="I39" i="2"/>
  <c r="J39" i="2"/>
  <c r="K39" i="2"/>
  <c r="M39" i="2"/>
  <c r="F40" i="2"/>
  <c r="G40" i="2"/>
  <c r="I40" i="2"/>
  <c r="J40" i="2"/>
  <c r="K40" i="2"/>
  <c r="M40" i="2"/>
  <c r="F41" i="2"/>
  <c r="G41" i="2"/>
  <c r="I41" i="2"/>
  <c r="J41" i="2"/>
  <c r="K41" i="2"/>
  <c r="M41" i="2"/>
  <c r="F42" i="2"/>
  <c r="G42" i="2"/>
  <c r="I42" i="2"/>
  <c r="J42" i="2"/>
  <c r="K42" i="2"/>
  <c r="M42" i="2"/>
  <c r="F43" i="2"/>
  <c r="G43" i="2"/>
  <c r="I43" i="2"/>
  <c r="J43" i="2"/>
  <c r="K43" i="2"/>
  <c r="M43" i="2"/>
  <c r="F44" i="2"/>
  <c r="G44" i="2"/>
  <c r="I44" i="2"/>
  <c r="J44" i="2"/>
  <c r="K44" i="2"/>
  <c r="M44" i="2"/>
  <c r="F45" i="2"/>
  <c r="G45" i="2"/>
  <c r="I45" i="2"/>
  <c r="J45" i="2"/>
  <c r="K45" i="2"/>
  <c r="M45" i="2"/>
  <c r="F46" i="2"/>
  <c r="G46" i="2"/>
  <c r="I46" i="2"/>
  <c r="J46" i="2"/>
  <c r="K46" i="2"/>
  <c r="M46" i="2"/>
  <c r="F47" i="2"/>
  <c r="G47" i="2"/>
  <c r="I47" i="2"/>
  <c r="J47" i="2"/>
  <c r="K47" i="2"/>
  <c r="M47" i="2"/>
  <c r="F48" i="2"/>
  <c r="G48" i="2"/>
  <c r="I48" i="2"/>
  <c r="J48" i="2"/>
  <c r="K48" i="2"/>
  <c r="M48" i="2"/>
  <c r="F49" i="2"/>
  <c r="G49" i="2"/>
  <c r="I49" i="2"/>
  <c r="J49" i="2"/>
  <c r="K49" i="2"/>
  <c r="M49" i="2"/>
  <c r="F50" i="2"/>
  <c r="G50" i="2"/>
  <c r="I50" i="2"/>
  <c r="J50" i="2"/>
  <c r="K50" i="2"/>
  <c r="M50" i="2"/>
  <c r="F51" i="2"/>
  <c r="G51" i="2"/>
  <c r="I51" i="2"/>
  <c r="J51" i="2"/>
  <c r="K51" i="2"/>
  <c r="M51" i="2"/>
  <c r="F52" i="2"/>
  <c r="G52" i="2"/>
  <c r="I52" i="2"/>
  <c r="J52" i="2"/>
  <c r="K52" i="2"/>
  <c r="M52" i="2"/>
  <c r="F53" i="2"/>
  <c r="G53" i="2"/>
  <c r="I53" i="2"/>
  <c r="J53" i="2"/>
  <c r="K53" i="2"/>
  <c r="M53" i="2"/>
  <c r="F54" i="2"/>
  <c r="G54" i="2"/>
  <c r="I54" i="2"/>
  <c r="J54" i="2"/>
  <c r="K54" i="2"/>
  <c r="M54" i="2"/>
  <c r="F55" i="2"/>
  <c r="G55" i="2"/>
  <c r="I55" i="2"/>
  <c r="J55" i="2"/>
  <c r="K55" i="2"/>
  <c r="M55" i="2"/>
  <c r="F56" i="2"/>
  <c r="G56" i="2"/>
  <c r="I56" i="2"/>
  <c r="J56" i="2"/>
  <c r="K56" i="2"/>
  <c r="M56" i="2"/>
  <c r="F57" i="2"/>
  <c r="G57" i="2"/>
  <c r="I57" i="2"/>
  <c r="J57" i="2"/>
  <c r="K57" i="2"/>
  <c r="M57" i="2"/>
  <c r="F58" i="2"/>
  <c r="G58" i="2"/>
  <c r="I58" i="2"/>
  <c r="J58" i="2"/>
  <c r="K58" i="2"/>
  <c r="M58" i="2"/>
  <c r="F59" i="2"/>
  <c r="G59" i="2"/>
  <c r="I59" i="2"/>
  <c r="J59" i="2"/>
  <c r="K59" i="2"/>
  <c r="M59" i="2"/>
  <c r="F60" i="2"/>
  <c r="G60" i="2"/>
  <c r="I60" i="2"/>
  <c r="J60" i="2"/>
  <c r="K60" i="2"/>
  <c r="M60" i="2"/>
  <c r="F61" i="2"/>
  <c r="G61" i="2"/>
  <c r="I61" i="2"/>
  <c r="J61" i="2"/>
  <c r="K61" i="2"/>
  <c r="M61" i="2"/>
  <c r="F62" i="2"/>
  <c r="G62" i="2"/>
  <c r="I62" i="2"/>
  <c r="J62" i="2"/>
  <c r="K62" i="2"/>
  <c r="M62" i="2"/>
  <c r="F63" i="2"/>
  <c r="G63" i="2"/>
  <c r="I63" i="2"/>
  <c r="J63" i="2"/>
  <c r="K63" i="2"/>
  <c r="M63" i="2"/>
  <c r="F64" i="2"/>
  <c r="G64" i="2"/>
  <c r="I64" i="2"/>
  <c r="J64" i="2"/>
  <c r="K64" i="2"/>
  <c r="M64" i="2"/>
  <c r="F65" i="2"/>
  <c r="G65" i="2"/>
  <c r="I65" i="2"/>
  <c r="J65" i="2"/>
  <c r="K65" i="2"/>
  <c r="M65" i="2"/>
  <c r="F66" i="2"/>
  <c r="G66" i="2"/>
  <c r="I66" i="2"/>
  <c r="J66" i="2"/>
  <c r="K66" i="2"/>
  <c r="M66" i="2"/>
  <c r="F67" i="2"/>
  <c r="G67" i="2"/>
  <c r="I67" i="2"/>
  <c r="J67" i="2"/>
  <c r="K67" i="2"/>
  <c r="M67" i="2"/>
  <c r="F68" i="2"/>
  <c r="G68" i="2"/>
  <c r="I68" i="2"/>
  <c r="J68" i="2"/>
  <c r="K68" i="2"/>
  <c r="M68" i="2"/>
  <c r="F69" i="2"/>
  <c r="G69" i="2"/>
  <c r="I69" i="2"/>
  <c r="J69" i="2"/>
  <c r="K69" i="2"/>
  <c r="M69" i="2"/>
  <c r="F70" i="2"/>
  <c r="G70" i="2"/>
  <c r="I70" i="2"/>
  <c r="J70" i="2"/>
  <c r="K70" i="2"/>
  <c r="M70" i="2"/>
  <c r="F71" i="2"/>
  <c r="G71" i="2"/>
  <c r="I71" i="2"/>
  <c r="J71" i="2"/>
  <c r="K71" i="2"/>
  <c r="M71" i="2"/>
  <c r="F72" i="2"/>
  <c r="G72" i="2"/>
  <c r="I72" i="2"/>
  <c r="J72" i="2"/>
  <c r="K72" i="2"/>
  <c r="M72" i="2"/>
  <c r="F73" i="2"/>
  <c r="G73" i="2"/>
  <c r="I73" i="2"/>
  <c r="J73" i="2"/>
  <c r="K73" i="2"/>
  <c r="M73" i="2"/>
  <c r="F74" i="2"/>
  <c r="G74" i="2"/>
  <c r="I74" i="2"/>
  <c r="J74" i="2"/>
  <c r="K74" i="2"/>
  <c r="M74" i="2"/>
  <c r="F75" i="2"/>
  <c r="G75" i="2"/>
  <c r="I75" i="2"/>
  <c r="J75" i="2"/>
  <c r="K75" i="2"/>
  <c r="M75" i="2"/>
  <c r="F76" i="2"/>
  <c r="G76" i="2"/>
  <c r="I76" i="2"/>
  <c r="J76" i="2"/>
  <c r="K76" i="2"/>
  <c r="M76" i="2"/>
  <c r="F77" i="2"/>
  <c r="G77" i="2"/>
  <c r="I77" i="2"/>
  <c r="J77" i="2"/>
  <c r="K77" i="2"/>
  <c r="M77" i="2"/>
  <c r="F78" i="2"/>
  <c r="G78" i="2"/>
  <c r="I78" i="2"/>
  <c r="J78" i="2"/>
  <c r="K78" i="2"/>
  <c r="M78" i="2"/>
  <c r="F79" i="2"/>
  <c r="G79" i="2"/>
  <c r="I79" i="2"/>
  <c r="J79" i="2"/>
  <c r="K79" i="2"/>
  <c r="M79" i="2"/>
  <c r="F80" i="2"/>
  <c r="G80" i="2"/>
  <c r="I80" i="2"/>
  <c r="J80" i="2"/>
  <c r="K80" i="2"/>
  <c r="M80" i="2"/>
  <c r="F81" i="2"/>
  <c r="G81" i="2"/>
  <c r="I81" i="2"/>
  <c r="J81" i="2"/>
  <c r="K81" i="2"/>
  <c r="M81" i="2"/>
  <c r="F82" i="2"/>
  <c r="G82" i="2"/>
  <c r="I82" i="2"/>
  <c r="J82" i="2"/>
  <c r="K82" i="2"/>
  <c r="M82" i="2"/>
  <c r="F83" i="2"/>
  <c r="G83" i="2"/>
  <c r="I83" i="2"/>
  <c r="J83" i="2"/>
  <c r="K83" i="2"/>
  <c r="M83" i="2"/>
  <c r="F84" i="2"/>
  <c r="G84" i="2"/>
  <c r="I84" i="2"/>
  <c r="J84" i="2"/>
  <c r="K84" i="2"/>
  <c r="M84" i="2"/>
  <c r="F85" i="2"/>
  <c r="G85" i="2"/>
  <c r="I85" i="2"/>
  <c r="J85" i="2"/>
  <c r="K85" i="2"/>
  <c r="M85" i="2"/>
  <c r="F86" i="2"/>
  <c r="G86" i="2"/>
  <c r="I86" i="2"/>
  <c r="J86" i="2"/>
  <c r="K86" i="2"/>
  <c r="M86" i="2"/>
  <c r="F87" i="2"/>
  <c r="G87" i="2"/>
  <c r="I87" i="2"/>
  <c r="J87" i="2"/>
  <c r="K87" i="2"/>
  <c r="M87" i="2"/>
  <c r="F88" i="2"/>
  <c r="G88" i="2"/>
  <c r="I88" i="2"/>
  <c r="J88" i="2"/>
  <c r="K88" i="2"/>
  <c r="M88" i="2"/>
  <c r="F89" i="2"/>
  <c r="G89" i="2"/>
  <c r="I89" i="2"/>
  <c r="J89" i="2"/>
  <c r="K89" i="2"/>
  <c r="M89" i="2"/>
  <c r="F90" i="2"/>
  <c r="G90" i="2"/>
  <c r="I90" i="2"/>
  <c r="J90" i="2"/>
  <c r="K90" i="2"/>
  <c r="M90" i="2"/>
  <c r="F91" i="2"/>
  <c r="G91" i="2"/>
  <c r="I91" i="2"/>
  <c r="J91" i="2"/>
  <c r="K91" i="2"/>
  <c r="M91" i="2"/>
  <c r="F92" i="2"/>
  <c r="G92" i="2"/>
  <c r="I92" i="2"/>
  <c r="J92" i="2"/>
  <c r="K92" i="2"/>
  <c r="M92" i="2"/>
  <c r="F93" i="2"/>
  <c r="G93" i="2"/>
  <c r="I93" i="2"/>
  <c r="J93" i="2"/>
  <c r="K93" i="2"/>
  <c r="M93" i="2"/>
  <c r="F94" i="2"/>
  <c r="G94" i="2"/>
  <c r="I94" i="2"/>
  <c r="J94" i="2"/>
  <c r="K94" i="2"/>
  <c r="M94" i="2"/>
  <c r="F95" i="2"/>
  <c r="G95" i="2"/>
  <c r="I95" i="2"/>
  <c r="J95" i="2"/>
  <c r="K95" i="2"/>
  <c r="M95" i="2"/>
  <c r="F96" i="2"/>
  <c r="G96" i="2"/>
  <c r="I96" i="2"/>
  <c r="J96" i="2"/>
  <c r="K96" i="2"/>
  <c r="M96" i="2"/>
  <c r="F97" i="2"/>
  <c r="G97" i="2"/>
  <c r="I97" i="2"/>
  <c r="J97" i="2"/>
  <c r="K97" i="2"/>
  <c r="M97" i="2"/>
  <c r="F98" i="2"/>
  <c r="G98" i="2"/>
  <c r="I98" i="2"/>
  <c r="J98" i="2"/>
  <c r="K98" i="2"/>
  <c r="M98" i="2"/>
  <c r="F99" i="2"/>
  <c r="G99" i="2"/>
  <c r="I99" i="2"/>
  <c r="J99" i="2"/>
  <c r="K99" i="2"/>
  <c r="M99" i="2"/>
  <c r="F100" i="2"/>
  <c r="G100" i="2"/>
  <c r="I100" i="2"/>
  <c r="J100" i="2"/>
  <c r="K100" i="2"/>
  <c r="M100" i="2"/>
  <c r="F101" i="2"/>
  <c r="G101" i="2"/>
  <c r="I101" i="2"/>
  <c r="J101" i="2"/>
  <c r="K101" i="2"/>
  <c r="M101" i="2"/>
  <c r="F102" i="2"/>
  <c r="G102" i="2"/>
  <c r="I102" i="2"/>
  <c r="J102" i="2"/>
  <c r="K102" i="2"/>
  <c r="M102" i="2"/>
  <c r="F103" i="2"/>
  <c r="G103" i="2"/>
  <c r="I103" i="2"/>
  <c r="J103" i="2"/>
  <c r="K103" i="2"/>
  <c r="M103" i="2"/>
  <c r="F104" i="2"/>
  <c r="G104" i="2"/>
  <c r="I104" i="2"/>
  <c r="J104" i="2"/>
  <c r="K104" i="2"/>
  <c r="M104" i="2"/>
  <c r="F105" i="2"/>
  <c r="G105" i="2"/>
  <c r="I105" i="2"/>
  <c r="J105" i="2"/>
  <c r="K105" i="2"/>
  <c r="M105" i="2"/>
  <c r="F106" i="2"/>
  <c r="G106" i="2"/>
  <c r="I106" i="2"/>
  <c r="J106" i="2"/>
  <c r="K106" i="2"/>
  <c r="M106" i="2"/>
  <c r="F107" i="2"/>
  <c r="G107" i="2"/>
  <c r="I107" i="2"/>
  <c r="J107" i="2"/>
  <c r="K107" i="2"/>
  <c r="M107" i="2"/>
  <c r="F108" i="2"/>
  <c r="G108" i="2"/>
  <c r="I108" i="2"/>
  <c r="J108" i="2"/>
  <c r="K108" i="2"/>
  <c r="M108" i="2"/>
  <c r="F109" i="2"/>
  <c r="G109" i="2"/>
  <c r="I109" i="2"/>
  <c r="J109" i="2"/>
  <c r="K109" i="2"/>
  <c r="M109" i="2"/>
  <c r="F110" i="2"/>
  <c r="G110" i="2"/>
  <c r="I110" i="2"/>
  <c r="J110" i="2"/>
  <c r="K110" i="2"/>
  <c r="M110" i="2"/>
  <c r="F111" i="2"/>
  <c r="G111" i="2"/>
  <c r="I111" i="2"/>
  <c r="J111" i="2"/>
  <c r="K111" i="2"/>
  <c r="M111" i="2"/>
  <c r="F112" i="2"/>
  <c r="G112" i="2"/>
  <c r="I112" i="2"/>
  <c r="J112" i="2"/>
  <c r="K112" i="2"/>
  <c r="M112" i="2"/>
  <c r="F113" i="2"/>
  <c r="G113" i="2"/>
  <c r="I113" i="2"/>
  <c r="J113" i="2"/>
  <c r="K113" i="2"/>
  <c r="M113" i="2"/>
  <c r="F114" i="2"/>
  <c r="G114" i="2"/>
  <c r="I114" i="2"/>
  <c r="J114" i="2"/>
  <c r="K114" i="2"/>
  <c r="M114" i="2"/>
  <c r="F115" i="2"/>
  <c r="G115" i="2"/>
  <c r="I115" i="2"/>
  <c r="J115" i="2"/>
  <c r="K115" i="2"/>
  <c r="M115" i="2"/>
  <c r="F116" i="2"/>
  <c r="G116" i="2"/>
  <c r="I116" i="2"/>
  <c r="J116" i="2"/>
  <c r="K116" i="2"/>
  <c r="M116" i="2"/>
  <c r="F117" i="2"/>
  <c r="G117" i="2"/>
  <c r="I117" i="2"/>
  <c r="J117" i="2"/>
  <c r="K117" i="2"/>
  <c r="M117" i="2"/>
  <c r="F118" i="2"/>
  <c r="G118" i="2"/>
  <c r="I118" i="2"/>
  <c r="J118" i="2"/>
  <c r="K118" i="2"/>
  <c r="M118" i="2"/>
  <c r="F119" i="2"/>
  <c r="G119" i="2"/>
  <c r="I119" i="2"/>
  <c r="J119" i="2"/>
  <c r="K119" i="2"/>
  <c r="M119" i="2"/>
  <c r="F120" i="2"/>
  <c r="G120" i="2"/>
  <c r="I120" i="2"/>
  <c r="J120" i="2"/>
  <c r="K120" i="2"/>
  <c r="M120" i="2"/>
  <c r="F121" i="2"/>
  <c r="G121" i="2"/>
  <c r="I121" i="2"/>
  <c r="J121" i="2"/>
  <c r="K121" i="2"/>
  <c r="M121" i="2"/>
  <c r="F122" i="2"/>
  <c r="G122" i="2"/>
  <c r="I122" i="2"/>
  <c r="J122" i="2"/>
  <c r="K122" i="2"/>
  <c r="M122" i="2"/>
  <c r="F123" i="2"/>
  <c r="G123" i="2"/>
  <c r="I123" i="2"/>
  <c r="J123" i="2"/>
  <c r="K123" i="2"/>
  <c r="M123" i="2"/>
  <c r="F124" i="2"/>
  <c r="G124" i="2"/>
  <c r="I124" i="2"/>
  <c r="J124" i="2"/>
  <c r="K124" i="2"/>
  <c r="M124" i="2"/>
  <c r="F125" i="2"/>
  <c r="G125" i="2"/>
  <c r="I125" i="2"/>
  <c r="J125" i="2"/>
  <c r="K125" i="2"/>
  <c r="M125" i="2"/>
  <c r="F126" i="2"/>
  <c r="G126" i="2"/>
  <c r="I126" i="2"/>
  <c r="J126" i="2"/>
  <c r="K126" i="2"/>
  <c r="M126" i="2"/>
  <c r="F127" i="2"/>
  <c r="G127" i="2"/>
  <c r="I127" i="2"/>
  <c r="J127" i="2"/>
  <c r="K127" i="2"/>
  <c r="M127" i="2"/>
  <c r="F128" i="2"/>
  <c r="G128" i="2"/>
  <c r="I128" i="2"/>
  <c r="J128" i="2"/>
  <c r="K128" i="2"/>
  <c r="M128" i="2"/>
  <c r="F129" i="2"/>
  <c r="G129" i="2"/>
  <c r="I129" i="2"/>
  <c r="J129" i="2"/>
  <c r="K129" i="2"/>
  <c r="M129" i="2"/>
  <c r="F130" i="2"/>
  <c r="G130" i="2"/>
  <c r="I130" i="2"/>
  <c r="J130" i="2"/>
  <c r="K130" i="2"/>
  <c r="M130" i="2"/>
  <c r="F131" i="2"/>
  <c r="G131" i="2"/>
  <c r="I131" i="2"/>
  <c r="J131" i="2"/>
  <c r="K131" i="2"/>
  <c r="M131" i="2"/>
  <c r="F132" i="2"/>
  <c r="G132" i="2"/>
  <c r="I132" i="2"/>
  <c r="J132" i="2"/>
  <c r="K132" i="2"/>
  <c r="M132" i="2"/>
  <c r="F133" i="2"/>
  <c r="G133" i="2"/>
  <c r="I133" i="2"/>
  <c r="J133" i="2"/>
  <c r="K133" i="2"/>
  <c r="M133" i="2"/>
  <c r="F134" i="2"/>
  <c r="G134" i="2"/>
  <c r="I134" i="2"/>
  <c r="J134" i="2"/>
  <c r="K134" i="2"/>
  <c r="M134" i="2"/>
  <c r="F135" i="2"/>
  <c r="G135" i="2"/>
  <c r="I135" i="2"/>
  <c r="J135" i="2"/>
  <c r="K135" i="2"/>
  <c r="M135" i="2"/>
  <c r="F136" i="2"/>
  <c r="G136" i="2"/>
  <c r="I136" i="2"/>
  <c r="J136" i="2"/>
  <c r="K136" i="2"/>
  <c r="M136" i="2"/>
  <c r="F137" i="2"/>
  <c r="G137" i="2"/>
  <c r="I137" i="2"/>
  <c r="J137" i="2"/>
  <c r="K137" i="2"/>
  <c r="M137" i="2"/>
  <c r="F138" i="2"/>
  <c r="G138" i="2"/>
  <c r="I138" i="2"/>
  <c r="J138" i="2"/>
  <c r="K138" i="2"/>
  <c r="M138" i="2"/>
  <c r="F139" i="2"/>
  <c r="G139" i="2"/>
  <c r="I139" i="2"/>
  <c r="J139" i="2"/>
  <c r="K139" i="2"/>
  <c r="M139" i="2"/>
  <c r="F140" i="2"/>
  <c r="G140" i="2"/>
  <c r="I140" i="2"/>
  <c r="J140" i="2"/>
  <c r="K140" i="2"/>
  <c r="M140" i="2"/>
  <c r="F141" i="2"/>
  <c r="G141" i="2"/>
  <c r="I141" i="2"/>
  <c r="J141" i="2"/>
  <c r="K141" i="2"/>
  <c r="M141" i="2"/>
  <c r="F142" i="2"/>
  <c r="G142" i="2"/>
  <c r="I142" i="2"/>
  <c r="J142" i="2"/>
  <c r="K142" i="2"/>
  <c r="M142" i="2"/>
  <c r="F143" i="2"/>
  <c r="G143" i="2"/>
  <c r="I143" i="2"/>
  <c r="J143" i="2"/>
  <c r="K143" i="2"/>
  <c r="M143" i="2"/>
  <c r="F144" i="2"/>
  <c r="G144" i="2"/>
  <c r="I144" i="2"/>
  <c r="J144" i="2"/>
  <c r="K144" i="2"/>
  <c r="M144" i="2"/>
  <c r="F145" i="2"/>
  <c r="G145" i="2"/>
  <c r="I145" i="2"/>
  <c r="J145" i="2"/>
  <c r="K145" i="2"/>
  <c r="M145" i="2"/>
  <c r="F146" i="2"/>
  <c r="G146" i="2"/>
  <c r="I146" i="2"/>
  <c r="J146" i="2"/>
  <c r="K146" i="2"/>
  <c r="M146" i="2"/>
  <c r="F147" i="2"/>
  <c r="G147" i="2"/>
  <c r="I147" i="2"/>
  <c r="J147" i="2"/>
  <c r="K147" i="2"/>
  <c r="M147" i="2"/>
  <c r="F148" i="2"/>
  <c r="G148" i="2"/>
  <c r="I148" i="2"/>
  <c r="J148" i="2"/>
  <c r="K148" i="2"/>
  <c r="M148" i="2"/>
  <c r="F149" i="2"/>
  <c r="G149" i="2"/>
  <c r="I149" i="2"/>
  <c r="J149" i="2"/>
  <c r="K149" i="2"/>
  <c r="M149" i="2"/>
  <c r="F150" i="2"/>
  <c r="G150" i="2"/>
  <c r="I150" i="2"/>
  <c r="J150" i="2"/>
  <c r="K150" i="2"/>
  <c r="M150" i="2"/>
  <c r="F151" i="2"/>
  <c r="G151" i="2"/>
  <c r="I151" i="2"/>
  <c r="J151" i="2"/>
  <c r="K151" i="2"/>
  <c r="M151" i="2"/>
  <c r="F152" i="2"/>
  <c r="G152" i="2"/>
  <c r="I152" i="2"/>
  <c r="J152" i="2"/>
  <c r="K152" i="2"/>
  <c r="M152" i="2"/>
  <c r="F153" i="2"/>
  <c r="G153" i="2"/>
  <c r="I153" i="2"/>
  <c r="J153" i="2"/>
  <c r="K153" i="2"/>
  <c r="M153" i="2"/>
  <c r="F154" i="2"/>
  <c r="G154" i="2"/>
  <c r="I154" i="2"/>
  <c r="J154" i="2"/>
  <c r="K154" i="2"/>
  <c r="M154" i="2"/>
  <c r="F155" i="2"/>
  <c r="G155" i="2"/>
  <c r="I155" i="2"/>
  <c r="J155" i="2"/>
  <c r="K155" i="2"/>
  <c r="M155" i="2"/>
  <c r="F156" i="2"/>
  <c r="G156" i="2"/>
  <c r="I156" i="2"/>
  <c r="J156" i="2"/>
  <c r="K156" i="2"/>
  <c r="M156" i="2"/>
  <c r="F157" i="2"/>
  <c r="G157" i="2"/>
  <c r="I157" i="2"/>
  <c r="J157" i="2"/>
  <c r="K157" i="2"/>
  <c r="M157" i="2"/>
  <c r="F158" i="2"/>
  <c r="G158" i="2"/>
  <c r="I158" i="2"/>
  <c r="J158" i="2"/>
  <c r="K158" i="2"/>
  <c r="M158" i="2"/>
  <c r="F159" i="2"/>
  <c r="G159" i="2"/>
  <c r="I159" i="2"/>
  <c r="J159" i="2"/>
  <c r="K159" i="2"/>
  <c r="M159" i="2"/>
  <c r="F160" i="2"/>
  <c r="G160" i="2"/>
  <c r="I160" i="2"/>
  <c r="J160" i="2"/>
  <c r="K160" i="2"/>
  <c r="M160" i="2"/>
  <c r="F161" i="2"/>
  <c r="G161" i="2"/>
  <c r="I161" i="2"/>
  <c r="J161" i="2"/>
  <c r="K161" i="2"/>
  <c r="M161" i="2"/>
  <c r="F162" i="2"/>
  <c r="G162" i="2"/>
  <c r="I162" i="2"/>
  <c r="J162" i="2"/>
  <c r="K162" i="2"/>
  <c r="M162" i="2"/>
  <c r="F163" i="2"/>
  <c r="G163" i="2"/>
  <c r="I163" i="2"/>
  <c r="J163" i="2"/>
  <c r="K163" i="2"/>
  <c r="M163" i="2"/>
  <c r="F164" i="2"/>
  <c r="G164" i="2"/>
  <c r="I164" i="2"/>
  <c r="J164" i="2"/>
  <c r="K164" i="2"/>
  <c r="M164" i="2"/>
  <c r="F165" i="2"/>
  <c r="G165" i="2"/>
  <c r="I165" i="2"/>
  <c r="J165" i="2"/>
  <c r="K165" i="2"/>
  <c r="M165" i="2"/>
  <c r="F166" i="2"/>
  <c r="G166" i="2"/>
  <c r="I166" i="2"/>
  <c r="J166" i="2"/>
  <c r="K166" i="2"/>
  <c r="M166" i="2"/>
  <c r="F167" i="2"/>
  <c r="G167" i="2"/>
  <c r="I167" i="2"/>
  <c r="J167" i="2"/>
  <c r="K167" i="2"/>
  <c r="M167" i="2"/>
  <c r="F168" i="2"/>
  <c r="G168" i="2"/>
  <c r="I168" i="2"/>
  <c r="J168" i="2"/>
  <c r="K168" i="2"/>
  <c r="M168" i="2"/>
  <c r="F169" i="2"/>
  <c r="G169" i="2"/>
  <c r="I169" i="2"/>
  <c r="J169" i="2"/>
  <c r="K169" i="2"/>
  <c r="M169" i="2"/>
  <c r="F170" i="2"/>
  <c r="G170" i="2"/>
  <c r="I170" i="2"/>
  <c r="J170" i="2"/>
  <c r="K170" i="2"/>
  <c r="M170" i="2"/>
  <c r="F171" i="2"/>
  <c r="G171" i="2"/>
  <c r="I171" i="2"/>
  <c r="J171" i="2"/>
  <c r="K171" i="2"/>
  <c r="M171" i="2"/>
  <c r="F172" i="2"/>
  <c r="G172" i="2"/>
  <c r="I172" i="2"/>
  <c r="J172" i="2"/>
  <c r="K172" i="2"/>
  <c r="M172" i="2"/>
  <c r="F173" i="2"/>
  <c r="G173" i="2"/>
  <c r="I173" i="2"/>
  <c r="J173" i="2"/>
  <c r="K173" i="2"/>
  <c r="M173" i="2"/>
  <c r="F174" i="2"/>
  <c r="G174" i="2"/>
  <c r="I174" i="2"/>
  <c r="J174" i="2"/>
  <c r="K174" i="2"/>
  <c r="M174" i="2"/>
  <c r="F175" i="2"/>
  <c r="G175" i="2"/>
  <c r="I175" i="2"/>
  <c r="J175" i="2"/>
  <c r="K175" i="2"/>
  <c r="M175" i="2"/>
  <c r="F176" i="2"/>
  <c r="G176" i="2"/>
  <c r="I176" i="2"/>
  <c r="J176" i="2"/>
  <c r="K176" i="2"/>
  <c r="M176" i="2"/>
  <c r="F177" i="2"/>
  <c r="G177" i="2"/>
  <c r="I177" i="2"/>
  <c r="J177" i="2"/>
  <c r="K177" i="2"/>
  <c r="M177" i="2"/>
  <c r="F178" i="2"/>
  <c r="G178" i="2"/>
  <c r="I178" i="2"/>
  <c r="J178" i="2"/>
  <c r="K178" i="2"/>
  <c r="M178" i="2"/>
  <c r="F179" i="2"/>
  <c r="G179" i="2"/>
  <c r="I179" i="2"/>
  <c r="J179" i="2"/>
  <c r="K179" i="2"/>
  <c r="M179" i="2"/>
  <c r="F180" i="2"/>
  <c r="G180" i="2"/>
  <c r="I180" i="2"/>
  <c r="J180" i="2"/>
  <c r="K180" i="2"/>
  <c r="M180" i="2"/>
  <c r="F181" i="2"/>
  <c r="G181" i="2"/>
  <c r="I181" i="2"/>
  <c r="J181" i="2"/>
  <c r="K181" i="2"/>
  <c r="M181" i="2"/>
  <c r="F182" i="2"/>
  <c r="G182" i="2"/>
  <c r="I182" i="2"/>
  <c r="J182" i="2"/>
  <c r="K182" i="2"/>
  <c r="M182" i="2"/>
  <c r="F183" i="2"/>
  <c r="G183" i="2"/>
  <c r="I183" i="2"/>
  <c r="J183" i="2"/>
  <c r="K183" i="2"/>
  <c r="M183" i="2"/>
  <c r="F184" i="2"/>
  <c r="G184" i="2"/>
  <c r="I184" i="2"/>
  <c r="J184" i="2"/>
  <c r="K184" i="2"/>
  <c r="M184" i="2"/>
  <c r="F185" i="2"/>
  <c r="G185" i="2"/>
  <c r="I185" i="2"/>
  <c r="J185" i="2"/>
  <c r="K185" i="2"/>
  <c r="M185" i="2"/>
  <c r="F186" i="2"/>
  <c r="G186" i="2"/>
  <c r="I186" i="2"/>
  <c r="J186" i="2"/>
  <c r="K186" i="2"/>
  <c r="M186" i="2"/>
  <c r="F187" i="2"/>
  <c r="G187" i="2"/>
  <c r="I187" i="2"/>
  <c r="J187" i="2"/>
  <c r="K187" i="2"/>
  <c r="M187" i="2"/>
  <c r="F188" i="2"/>
  <c r="G188" i="2"/>
  <c r="I188" i="2"/>
  <c r="J188" i="2"/>
  <c r="K188" i="2"/>
  <c r="M188" i="2"/>
  <c r="F189" i="2"/>
  <c r="G189" i="2"/>
  <c r="I189" i="2"/>
  <c r="J189" i="2"/>
  <c r="K189" i="2"/>
  <c r="M189" i="2"/>
  <c r="F190" i="2"/>
  <c r="G190" i="2"/>
  <c r="I190" i="2"/>
  <c r="J190" i="2"/>
  <c r="K190" i="2"/>
  <c r="M190" i="2"/>
  <c r="F191" i="2"/>
  <c r="G191" i="2"/>
  <c r="I191" i="2"/>
  <c r="J191" i="2"/>
  <c r="K191" i="2"/>
  <c r="M191" i="2"/>
  <c r="F192" i="2"/>
  <c r="G192" i="2"/>
  <c r="I192" i="2"/>
  <c r="J192" i="2"/>
  <c r="K192" i="2"/>
  <c r="M192" i="2"/>
  <c r="F193" i="2"/>
  <c r="G193" i="2"/>
  <c r="I193" i="2"/>
  <c r="J193" i="2"/>
  <c r="K193" i="2"/>
  <c r="M193" i="2"/>
  <c r="F194" i="2"/>
  <c r="G194" i="2"/>
  <c r="I194" i="2"/>
  <c r="J194" i="2"/>
  <c r="K194" i="2"/>
  <c r="M194" i="2"/>
  <c r="F195" i="2"/>
  <c r="G195" i="2"/>
  <c r="I195" i="2"/>
  <c r="J195" i="2"/>
  <c r="K195" i="2"/>
  <c r="M195" i="2"/>
  <c r="F196" i="2"/>
  <c r="G196" i="2"/>
  <c r="I196" i="2"/>
  <c r="J196" i="2"/>
  <c r="K196" i="2"/>
  <c r="M196" i="2"/>
  <c r="F197" i="2"/>
  <c r="G197" i="2"/>
  <c r="I197" i="2"/>
  <c r="J197" i="2"/>
  <c r="K197" i="2"/>
  <c r="M197" i="2"/>
  <c r="F198" i="2"/>
  <c r="G198" i="2"/>
  <c r="I198" i="2"/>
  <c r="J198" i="2"/>
  <c r="K198" i="2"/>
  <c r="M198" i="2"/>
  <c r="F199" i="2"/>
  <c r="G199" i="2"/>
  <c r="I199" i="2"/>
  <c r="J199" i="2"/>
  <c r="K199" i="2"/>
  <c r="M199" i="2"/>
  <c r="F200" i="2"/>
  <c r="G200" i="2"/>
  <c r="I200" i="2"/>
  <c r="J200" i="2"/>
  <c r="K200" i="2"/>
  <c r="M200" i="2"/>
  <c r="F201" i="2"/>
  <c r="G201" i="2"/>
  <c r="I201" i="2"/>
  <c r="J201" i="2"/>
  <c r="K201" i="2"/>
  <c r="M201" i="2"/>
  <c r="F202" i="2"/>
  <c r="G202" i="2"/>
  <c r="I202" i="2"/>
  <c r="J202" i="2"/>
  <c r="K202" i="2"/>
  <c r="M202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B185" i="2"/>
  <c r="E185" i="2"/>
  <c r="B186" i="2"/>
  <c r="E186" i="2"/>
  <c r="B187" i="2"/>
  <c r="E187" i="2"/>
  <c r="B188" i="2"/>
  <c r="E188" i="2"/>
  <c r="B189" i="2"/>
  <c r="E189" i="2"/>
  <c r="B190" i="2"/>
  <c r="E190" i="2"/>
  <c r="B191" i="2"/>
  <c r="B177" i="2"/>
  <c r="E177" i="2"/>
  <c r="B178" i="2"/>
  <c r="E178" i="2"/>
  <c r="B179" i="2"/>
  <c r="E179" i="2"/>
  <c r="B180" i="2"/>
  <c r="E180" i="2"/>
  <c r="B181" i="2"/>
  <c r="E181" i="2"/>
  <c r="B182" i="2"/>
  <c r="E182" i="2"/>
  <c r="B183" i="2"/>
  <c r="E183" i="2"/>
  <c r="B184" i="2"/>
  <c r="E184" i="2"/>
  <c r="B164" i="2"/>
  <c r="E164" i="2"/>
  <c r="B165" i="2"/>
  <c r="E165" i="2"/>
  <c r="B166" i="2"/>
  <c r="E166" i="2"/>
  <c r="B167" i="2"/>
  <c r="E167" i="2"/>
  <c r="B168" i="2"/>
  <c r="E168" i="2"/>
  <c r="B169" i="2"/>
  <c r="E169" i="2"/>
  <c r="B170" i="2"/>
  <c r="E170" i="2"/>
  <c r="B171" i="2"/>
  <c r="E171" i="2"/>
  <c r="B172" i="2"/>
  <c r="E172" i="2"/>
  <c r="B173" i="2"/>
  <c r="E173" i="2"/>
  <c r="B174" i="2"/>
  <c r="E174" i="2"/>
  <c r="B175" i="2"/>
  <c r="E175" i="2"/>
  <c r="B176" i="2"/>
  <c r="E176" i="2"/>
  <c r="B163" i="2"/>
  <c r="E163" i="2"/>
  <c r="E162" i="2"/>
  <c r="B154" i="2"/>
  <c r="E154" i="2"/>
  <c r="B155" i="2"/>
  <c r="E155" i="2"/>
  <c r="B156" i="2"/>
  <c r="E156" i="2"/>
  <c r="B157" i="2"/>
  <c r="E157" i="2"/>
  <c r="B158" i="2"/>
  <c r="E158" i="2"/>
  <c r="B159" i="2"/>
  <c r="E159" i="2"/>
  <c r="B160" i="2"/>
  <c r="E160" i="2"/>
  <c r="B161" i="2"/>
  <c r="E161" i="2"/>
  <c r="B162" i="2"/>
  <c r="B153" i="2"/>
  <c r="E153" i="2"/>
  <c r="E152" i="2"/>
  <c r="B144" i="2"/>
  <c r="E144" i="2"/>
  <c r="B145" i="2"/>
  <c r="E145" i="2"/>
  <c r="B146" i="2"/>
  <c r="E146" i="2"/>
  <c r="B147" i="2"/>
  <c r="E147" i="2"/>
  <c r="B148" i="2"/>
  <c r="E148" i="2"/>
  <c r="B149" i="2"/>
  <c r="E149" i="2"/>
  <c r="B150" i="2"/>
  <c r="E150" i="2"/>
  <c r="B151" i="2"/>
  <c r="E151" i="2"/>
  <c r="B152" i="2"/>
  <c r="B143" i="2"/>
  <c r="E143" i="2"/>
  <c r="E142" i="2"/>
  <c r="B134" i="2"/>
  <c r="E134" i="2"/>
  <c r="B135" i="2"/>
  <c r="E135" i="2"/>
  <c r="B136" i="2"/>
  <c r="E136" i="2"/>
  <c r="B137" i="2"/>
  <c r="E137" i="2"/>
  <c r="B138" i="2"/>
  <c r="E138" i="2"/>
  <c r="B139" i="2"/>
  <c r="E139" i="2"/>
  <c r="B140" i="2"/>
  <c r="E140" i="2"/>
  <c r="B141" i="2"/>
  <c r="E141" i="2"/>
  <c r="B142" i="2"/>
  <c r="B133" i="2"/>
  <c r="E133" i="2"/>
  <c r="E132" i="2"/>
  <c r="B127" i="2"/>
  <c r="E127" i="2"/>
  <c r="B128" i="2"/>
  <c r="E128" i="2"/>
  <c r="B129" i="2"/>
  <c r="E129" i="2"/>
  <c r="B130" i="2"/>
  <c r="E130" i="2"/>
  <c r="B131" i="2"/>
  <c r="E131" i="2"/>
  <c r="B132" i="2"/>
  <c r="B126" i="2"/>
  <c r="E126" i="2"/>
  <c r="E125" i="2"/>
  <c r="B117" i="2"/>
  <c r="E117" i="2"/>
  <c r="B118" i="2"/>
  <c r="E118" i="2"/>
  <c r="B119" i="2"/>
  <c r="E119" i="2"/>
  <c r="B120" i="2"/>
  <c r="E120" i="2"/>
  <c r="B121" i="2"/>
  <c r="E121" i="2"/>
  <c r="B122" i="2"/>
  <c r="E122" i="2"/>
  <c r="B123" i="2"/>
  <c r="E123" i="2"/>
  <c r="B124" i="2"/>
  <c r="E124" i="2"/>
  <c r="B125" i="2"/>
  <c r="B116" i="2"/>
  <c r="E116" i="2"/>
  <c r="E115" i="2"/>
  <c r="B107" i="2"/>
  <c r="E107" i="2"/>
  <c r="B108" i="2"/>
  <c r="E108" i="2"/>
  <c r="B109" i="2"/>
  <c r="E109" i="2"/>
  <c r="B110" i="2"/>
  <c r="E110" i="2"/>
  <c r="B111" i="2"/>
  <c r="E111" i="2"/>
  <c r="B112" i="2"/>
  <c r="E112" i="2"/>
  <c r="B113" i="2"/>
  <c r="E113" i="2"/>
  <c r="B114" i="2"/>
  <c r="E114" i="2"/>
  <c r="B115" i="2"/>
  <c r="B106" i="2"/>
  <c r="E106" i="2"/>
  <c r="E105" i="2"/>
  <c r="B103" i="2"/>
  <c r="E103" i="2"/>
  <c r="B104" i="2"/>
  <c r="E104" i="2"/>
  <c r="B105" i="2"/>
  <c r="B102" i="2"/>
  <c r="E102" i="2"/>
  <c r="E101" i="2"/>
  <c r="B97" i="2"/>
  <c r="E97" i="2"/>
  <c r="B98" i="2"/>
  <c r="E98" i="2"/>
  <c r="B99" i="2"/>
  <c r="E99" i="2"/>
  <c r="B100" i="2"/>
  <c r="E100" i="2"/>
  <c r="B101" i="2"/>
  <c r="B96" i="2"/>
  <c r="E96" i="2"/>
  <c r="E95" i="2"/>
  <c r="B90" i="2"/>
  <c r="E90" i="2"/>
  <c r="B91" i="2"/>
  <c r="E91" i="2"/>
  <c r="B92" i="2"/>
  <c r="E92" i="2"/>
  <c r="B93" i="2"/>
  <c r="E93" i="2"/>
  <c r="B94" i="2"/>
  <c r="E94" i="2"/>
  <c r="B95" i="2"/>
  <c r="B89" i="2"/>
  <c r="E89" i="2"/>
  <c r="E88" i="2"/>
  <c r="B87" i="2"/>
  <c r="E87" i="2"/>
  <c r="E86" i="2"/>
  <c r="B78" i="2"/>
  <c r="E78" i="2"/>
  <c r="B79" i="2"/>
  <c r="E79" i="2"/>
  <c r="B80" i="2"/>
  <c r="E80" i="2"/>
  <c r="B81" i="2"/>
  <c r="E81" i="2"/>
  <c r="B82" i="2"/>
  <c r="E82" i="2"/>
  <c r="B83" i="2"/>
  <c r="E83" i="2"/>
  <c r="B84" i="2"/>
  <c r="E84" i="2"/>
  <c r="B85" i="2"/>
  <c r="E85" i="2"/>
  <c r="B86" i="2"/>
  <c r="B88" i="2"/>
  <c r="B77" i="2"/>
  <c r="E77" i="2"/>
  <c r="E76" i="2"/>
  <c r="E75" i="2"/>
  <c r="E74" i="2"/>
  <c r="B74" i="2"/>
  <c r="E73" i="2"/>
  <c r="B72" i="2"/>
  <c r="B65" i="2"/>
  <c r="E65" i="2"/>
  <c r="B66" i="2"/>
  <c r="E66" i="2"/>
  <c r="B67" i="2"/>
  <c r="E67" i="2"/>
  <c r="B68" i="2"/>
  <c r="E68" i="2"/>
  <c r="B69" i="2"/>
  <c r="E69" i="2"/>
  <c r="B70" i="2"/>
  <c r="E70" i="2"/>
  <c r="B71" i="2"/>
  <c r="E71" i="2"/>
  <c r="E72" i="2"/>
  <c r="B73" i="2"/>
  <c r="E64" i="2"/>
  <c r="B64" i="2"/>
  <c r="E63" i="2"/>
  <c r="B55" i="2"/>
  <c r="E55" i="2"/>
  <c r="B56" i="2"/>
  <c r="E56" i="2"/>
  <c r="B57" i="2"/>
  <c r="E57" i="2"/>
  <c r="B58" i="2"/>
  <c r="E58" i="2"/>
  <c r="B59" i="2"/>
  <c r="E59" i="2"/>
  <c r="B60" i="2"/>
  <c r="E60" i="2"/>
  <c r="B61" i="2"/>
  <c r="E61" i="2"/>
  <c r="B62" i="2"/>
  <c r="E62" i="2"/>
  <c r="B63" i="2"/>
  <c r="E54" i="2"/>
  <c r="B54" i="2"/>
  <c r="E53" i="2"/>
  <c r="B45" i="2"/>
  <c r="B46" i="2"/>
  <c r="B47" i="2"/>
  <c r="B48" i="2"/>
  <c r="B49" i="2"/>
  <c r="B50" i="2"/>
  <c r="B51" i="2"/>
  <c r="B52" i="2"/>
  <c r="B53" i="2"/>
  <c r="B44" i="2"/>
  <c r="B43" i="2"/>
  <c r="E49" i="2"/>
  <c r="E50" i="2"/>
  <c r="E51" i="2"/>
  <c r="E52" i="2"/>
  <c r="E48" i="2"/>
  <c r="E47" i="2"/>
  <c r="E46" i="2"/>
  <c r="E45" i="2"/>
  <c r="E44" i="2"/>
  <c r="E43" i="2"/>
  <c r="B42" i="2"/>
  <c r="E42" i="2"/>
  <c r="B35" i="2"/>
  <c r="E35" i="2"/>
  <c r="B36" i="2"/>
  <c r="E36" i="2"/>
  <c r="B37" i="2"/>
  <c r="E37" i="2"/>
  <c r="B38" i="2"/>
  <c r="E38" i="2"/>
  <c r="B39" i="2"/>
  <c r="E39" i="2"/>
  <c r="B40" i="2"/>
  <c r="E40" i="2"/>
  <c r="B41" i="2"/>
  <c r="E41" i="2"/>
  <c r="B34" i="2"/>
  <c r="E34" i="2"/>
  <c r="E33" i="2"/>
  <c r="B25" i="2"/>
  <c r="E25" i="2"/>
  <c r="B26" i="2"/>
  <c r="E26" i="2"/>
  <c r="B27" i="2"/>
  <c r="E27" i="2"/>
  <c r="B28" i="2"/>
  <c r="E28" i="2"/>
  <c r="B29" i="2"/>
  <c r="E29" i="2"/>
  <c r="B30" i="2"/>
  <c r="E30" i="2"/>
  <c r="B31" i="2"/>
  <c r="E31" i="2"/>
  <c r="B32" i="2"/>
  <c r="E32" i="2"/>
  <c r="B33" i="2"/>
  <c r="B13" i="2"/>
  <c r="E13" i="2"/>
  <c r="B14" i="2"/>
  <c r="E14" i="2"/>
  <c r="B15" i="2"/>
  <c r="E15" i="2"/>
  <c r="B16" i="2"/>
  <c r="E16" i="2"/>
  <c r="B17" i="2"/>
  <c r="E17" i="2"/>
  <c r="B18" i="2"/>
  <c r="E18" i="2"/>
  <c r="B19" i="2"/>
  <c r="E19" i="2"/>
  <c r="B20" i="2"/>
  <c r="E20" i="2"/>
  <c r="B21" i="2"/>
  <c r="E21" i="2"/>
  <c r="B22" i="2"/>
  <c r="E22" i="2"/>
  <c r="B23" i="2"/>
  <c r="E23" i="2"/>
  <c r="B24" i="2"/>
  <c r="E24" i="2"/>
  <c r="B12" i="2"/>
  <c r="E12" i="2"/>
  <c r="A3" i="2"/>
  <c r="A4" i="2"/>
  <c r="A5" i="2"/>
  <c r="A6" i="2"/>
  <c r="A7" i="2"/>
  <c r="A8" i="2"/>
  <c r="A9" i="2"/>
  <c r="A10" i="2"/>
  <c r="A11" i="2"/>
  <c r="E11" i="2"/>
  <c r="E10" i="2"/>
  <c r="E9" i="2"/>
  <c r="E8" i="2"/>
  <c r="E7" i="2"/>
  <c r="E6" i="2"/>
  <c r="E5" i="2"/>
  <c r="E4" i="2"/>
  <c r="E3" i="2"/>
  <c r="E2" i="2"/>
  <c r="B2" i="2"/>
  <c r="A2" i="2"/>
</calcChain>
</file>

<file path=xl/sharedStrings.xml><?xml version="1.0" encoding="utf-8"?>
<sst xmlns="http://schemas.openxmlformats.org/spreadsheetml/2006/main" count="24" uniqueCount="13">
  <si>
    <t>Frame</t>
  </si>
  <si>
    <t>Cycle</t>
  </si>
  <si>
    <t>Time (moment)</t>
  </si>
  <si>
    <t>Numeric ID</t>
  </si>
  <si>
    <t>MR area cm2</t>
  </si>
  <si>
    <t>MR VC mm</t>
  </si>
  <si>
    <t>LA area cm2</t>
  </si>
  <si>
    <t>LA length cm</t>
  </si>
  <si>
    <t>MV tenting height mm</t>
  </si>
  <si>
    <t>MV annulus mm</t>
  </si>
  <si>
    <t>LV area cm2</t>
  </si>
  <si>
    <t>LV length cm</t>
  </si>
  <si>
    <t>RR interval msec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</si>
</sst>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theme="0" tint="-0.34998626667073579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4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/>
    <xf numFmtId="0" fontId="1" fillId="0" borderId="1" xfId="0" applyFont="1" applyBorder="1"/>
    <xf numFmtId="164" fontId="3" fillId="2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/>
    <xf numFmtId="0" fontId="1" fillId="7" borderId="1" xfId="0" applyFont="1" applyFill="1" applyBorder="1"/>
    <xf numFmtId="0" fontId="1" fillId="0" borderId="0" xfId="0" applyFont="1" applyAlignment="1">
      <alignment horizontal="center" vertical="center"/>
    </xf>
    <xf numFmtId="0" fontId="1" fillId="4" borderId="1" xfId="0" applyFont="1" applyFill="1" applyBorder="1"/>
    <xf numFmtId="0" fontId="3" fillId="8" borderId="1" xfId="0" applyFont="1" applyFill="1" applyBorder="1"/>
    <xf numFmtId="0" fontId="0" fillId="0" borderId="0" xfId="0" applyAlignment="1">
      <alignment horizontal="center" vertical="center"/>
    </xf>
    <xf numFmtId="0" fontId="3" fillId="9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2" fillId="9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1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1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6" borderId="0" xfId="0" applyFill="1"/>
    <xf numFmtId="0" fontId="0" fillId="8" borderId="0" xfId="0" applyFill="1"/>
    <xf numFmtId="0" fontId="0" fillId="2" borderId="0" xfId="0" applyFill="1"/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MR area cm2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Sheet2!$E$2:$E$202</c:f>
              <c:numCache>
                <c:formatCode>General</c:formatCode>
                <c:ptCount val="201"/>
                <c:pt idx="0">
                  <c:v>1.94</c:v>
                </c:pt>
                <c:pt idx="1">
                  <c:v>2.4833333333333334</c:v>
                </c:pt>
                <c:pt idx="2">
                  <c:v>1.8</c:v>
                </c:pt>
                <c:pt idx="3">
                  <c:v>1.4</c:v>
                </c:pt>
                <c:pt idx="4">
                  <c:v>1.7250000000000001</c:v>
                </c:pt>
                <c:pt idx="5">
                  <c:v>1.425</c:v>
                </c:pt>
                <c:pt idx="6">
                  <c:v>2.35</c:v>
                </c:pt>
                <c:pt idx="7">
                  <c:v>1.8166666666666667</c:v>
                </c:pt>
                <c:pt idx="8">
                  <c:v>1.5</c:v>
                </c:pt>
                <c:pt idx="9">
                  <c:v>2.5</c:v>
                </c:pt>
                <c:pt idx="10">
                  <c:v>9.4</c:v>
                </c:pt>
                <c:pt idx="11">
                  <c:v>12</c:v>
                </c:pt>
                <c:pt idx="12">
                  <c:v>13.7</c:v>
                </c:pt>
                <c:pt idx="13">
                  <c:v>13.5</c:v>
                </c:pt>
                <c:pt idx="14">
                  <c:v>11.3</c:v>
                </c:pt>
                <c:pt idx="15">
                  <c:v>15.4</c:v>
                </c:pt>
                <c:pt idx="16">
                  <c:v>7.1</c:v>
                </c:pt>
                <c:pt idx="17">
                  <c:v>9.9</c:v>
                </c:pt>
                <c:pt idx="18">
                  <c:v>12.9</c:v>
                </c:pt>
                <c:pt idx="19">
                  <c:v>11</c:v>
                </c:pt>
                <c:pt idx="20">
                  <c:v>1.7</c:v>
                </c:pt>
                <c:pt idx="21">
                  <c:v>3.1</c:v>
                </c:pt>
                <c:pt idx="22">
                  <c:v>2.4</c:v>
                </c:pt>
                <c:pt idx="23">
                  <c:v>2.5</c:v>
                </c:pt>
                <c:pt idx="24">
                  <c:v>3.6</c:v>
                </c:pt>
                <c:pt idx="25">
                  <c:v>3.5</c:v>
                </c:pt>
                <c:pt idx="26">
                  <c:v>2.9</c:v>
                </c:pt>
                <c:pt idx="27">
                  <c:v>3.3</c:v>
                </c:pt>
                <c:pt idx="28">
                  <c:v>2</c:v>
                </c:pt>
                <c:pt idx="29">
                  <c:v>2.8</c:v>
                </c:pt>
                <c:pt idx="30">
                  <c:v>2.46</c:v>
                </c:pt>
                <c:pt idx="31">
                  <c:v>1.75</c:v>
                </c:pt>
                <c:pt idx="32">
                  <c:v>3.25</c:v>
                </c:pt>
                <c:pt idx="33">
                  <c:v>3.29</c:v>
                </c:pt>
                <c:pt idx="34">
                  <c:v>2.6</c:v>
                </c:pt>
                <c:pt idx="35">
                  <c:v>3.32</c:v>
                </c:pt>
                <c:pt idx="36">
                  <c:v>3.58</c:v>
                </c:pt>
                <c:pt idx="37">
                  <c:v>3.74</c:v>
                </c:pt>
                <c:pt idx="38">
                  <c:v>3.56</c:v>
                </c:pt>
                <c:pt idx="39">
                  <c:v>3.43</c:v>
                </c:pt>
                <c:pt idx="40">
                  <c:v>1.3</c:v>
                </c:pt>
                <c:pt idx="41">
                  <c:v>1.6333333333333335</c:v>
                </c:pt>
                <c:pt idx="42">
                  <c:v>1.5</c:v>
                </c:pt>
                <c:pt idx="43">
                  <c:v>1.2</c:v>
                </c:pt>
                <c:pt idx="44">
                  <c:v>6.9</c:v>
                </c:pt>
                <c:pt idx="45">
                  <c:v>4.3199999999999994</c:v>
                </c:pt>
                <c:pt idx="46">
                  <c:v>1.6</c:v>
                </c:pt>
                <c:pt idx="47">
                  <c:v>1.7</c:v>
                </c:pt>
                <c:pt idx="48">
                  <c:v>3.6</c:v>
                </c:pt>
                <c:pt idx="49">
                  <c:v>5.56</c:v>
                </c:pt>
                <c:pt idx="50">
                  <c:v>6.16</c:v>
                </c:pt>
                <c:pt idx="51">
                  <c:v>1.8199999999999998</c:v>
                </c:pt>
                <c:pt idx="52">
                  <c:v>4</c:v>
                </c:pt>
                <c:pt idx="53">
                  <c:v>3.4</c:v>
                </c:pt>
                <c:pt idx="54">
                  <c:v>5.7</c:v>
                </c:pt>
                <c:pt idx="55">
                  <c:v>5.5</c:v>
                </c:pt>
                <c:pt idx="56">
                  <c:v>5.4</c:v>
                </c:pt>
                <c:pt idx="57">
                  <c:v>2.5</c:v>
                </c:pt>
                <c:pt idx="58">
                  <c:v>2.7</c:v>
                </c:pt>
                <c:pt idx="59">
                  <c:v>3.3</c:v>
                </c:pt>
                <c:pt idx="60">
                  <c:v>1.9</c:v>
                </c:pt>
                <c:pt idx="61">
                  <c:v>1.9000000000000001</c:v>
                </c:pt>
                <c:pt idx="62">
                  <c:v>0.2</c:v>
                </c:pt>
                <c:pt idx="63">
                  <c:v>4.5999999999999996</c:v>
                </c:pt>
                <c:pt idx="64">
                  <c:v>3.2</c:v>
                </c:pt>
                <c:pt idx="65">
                  <c:v>4.5999999999999996</c:v>
                </c:pt>
                <c:pt idx="66">
                  <c:v>0.4</c:v>
                </c:pt>
                <c:pt idx="67">
                  <c:v>4.3</c:v>
                </c:pt>
                <c:pt idx="68">
                  <c:v>1.9</c:v>
                </c:pt>
                <c:pt idx="69">
                  <c:v>1.2</c:v>
                </c:pt>
                <c:pt idx="70">
                  <c:v>2.87</c:v>
                </c:pt>
                <c:pt idx="71">
                  <c:v>1.8500000000000003</c:v>
                </c:pt>
                <c:pt idx="72">
                  <c:v>2.16</c:v>
                </c:pt>
                <c:pt idx="73">
                  <c:v>2.42</c:v>
                </c:pt>
                <c:pt idx="74">
                  <c:v>1.5471428571428572</c:v>
                </c:pt>
                <c:pt idx="75">
                  <c:v>2.21</c:v>
                </c:pt>
                <c:pt idx="76">
                  <c:v>2.29</c:v>
                </c:pt>
                <c:pt idx="77">
                  <c:v>2.57</c:v>
                </c:pt>
                <c:pt idx="78">
                  <c:v>2.39</c:v>
                </c:pt>
                <c:pt idx="79">
                  <c:v>2.63</c:v>
                </c:pt>
                <c:pt idx="80">
                  <c:v>3</c:v>
                </c:pt>
                <c:pt idx="81">
                  <c:v>2.23</c:v>
                </c:pt>
                <c:pt idx="82">
                  <c:v>1.88</c:v>
                </c:pt>
                <c:pt idx="83">
                  <c:v>3.6</c:v>
                </c:pt>
                <c:pt idx="84">
                  <c:v>1.9666666666666668</c:v>
                </c:pt>
                <c:pt idx="85">
                  <c:v>0.57999999999999996</c:v>
                </c:pt>
                <c:pt idx="86">
                  <c:v>1.7000000000000002</c:v>
                </c:pt>
                <c:pt idx="87">
                  <c:v>1.3</c:v>
                </c:pt>
                <c:pt idx="88">
                  <c:v>0.63</c:v>
                </c:pt>
                <c:pt idx="89">
                  <c:v>1.1200000000000001</c:v>
                </c:pt>
                <c:pt idx="90">
                  <c:v>1.33</c:v>
                </c:pt>
                <c:pt idx="91">
                  <c:v>3.8</c:v>
                </c:pt>
                <c:pt idx="92">
                  <c:v>1.18</c:v>
                </c:pt>
                <c:pt idx="93">
                  <c:v>0.70000000000000007</c:v>
                </c:pt>
                <c:pt idx="94">
                  <c:v>1.18</c:v>
                </c:pt>
                <c:pt idx="95">
                  <c:v>1.27</c:v>
                </c:pt>
                <c:pt idx="96">
                  <c:v>0.33</c:v>
                </c:pt>
                <c:pt idx="97">
                  <c:v>3.1</c:v>
                </c:pt>
                <c:pt idx="98">
                  <c:v>2.17</c:v>
                </c:pt>
                <c:pt idx="99">
                  <c:v>2.0285714285714285</c:v>
                </c:pt>
                <c:pt idx="100">
                  <c:v>2</c:v>
                </c:pt>
                <c:pt idx="101">
                  <c:v>3.58</c:v>
                </c:pt>
                <c:pt idx="102">
                  <c:v>3.42</c:v>
                </c:pt>
                <c:pt idx="103">
                  <c:v>2.5500000000000003</c:v>
                </c:pt>
                <c:pt idx="104">
                  <c:v>3.62</c:v>
                </c:pt>
                <c:pt idx="105">
                  <c:v>2.2799999999999998</c:v>
                </c:pt>
                <c:pt idx="106">
                  <c:v>2.79</c:v>
                </c:pt>
                <c:pt idx="107">
                  <c:v>2.93</c:v>
                </c:pt>
                <c:pt idx="108">
                  <c:v>2.67</c:v>
                </c:pt>
                <c:pt idx="109">
                  <c:v>2.33</c:v>
                </c:pt>
                <c:pt idx="110">
                  <c:v>2.11</c:v>
                </c:pt>
                <c:pt idx="111">
                  <c:v>2.1800000000000002</c:v>
                </c:pt>
                <c:pt idx="112">
                  <c:v>6</c:v>
                </c:pt>
                <c:pt idx="113">
                  <c:v>3.6514285714285717</c:v>
                </c:pt>
                <c:pt idx="114">
                  <c:v>11</c:v>
                </c:pt>
                <c:pt idx="115">
                  <c:v>9.5</c:v>
                </c:pt>
                <c:pt idx="116">
                  <c:v>8.9</c:v>
                </c:pt>
                <c:pt idx="117">
                  <c:v>10.3</c:v>
                </c:pt>
                <c:pt idx="118">
                  <c:v>9.1</c:v>
                </c:pt>
                <c:pt idx="119">
                  <c:v>6.6</c:v>
                </c:pt>
                <c:pt idx="120">
                  <c:v>8.9</c:v>
                </c:pt>
                <c:pt idx="121">
                  <c:v>7.3</c:v>
                </c:pt>
                <c:pt idx="122">
                  <c:v>5.4</c:v>
                </c:pt>
                <c:pt idx="123">
                  <c:v>1.666666666666667</c:v>
                </c:pt>
                <c:pt idx="124">
                  <c:v>3.5</c:v>
                </c:pt>
                <c:pt idx="125">
                  <c:v>4.13</c:v>
                </c:pt>
                <c:pt idx="126">
                  <c:v>2.88</c:v>
                </c:pt>
                <c:pt idx="127">
                  <c:v>4</c:v>
                </c:pt>
                <c:pt idx="128">
                  <c:v>3.2</c:v>
                </c:pt>
                <c:pt idx="129">
                  <c:v>2.81</c:v>
                </c:pt>
                <c:pt idx="130">
                  <c:v>2.85</c:v>
                </c:pt>
                <c:pt idx="131">
                  <c:v>4.25</c:v>
                </c:pt>
                <c:pt idx="132">
                  <c:v>5.0999999999999996</c:v>
                </c:pt>
                <c:pt idx="133">
                  <c:v>4</c:v>
                </c:pt>
                <c:pt idx="134">
                  <c:v>2.8</c:v>
                </c:pt>
                <c:pt idx="135">
                  <c:v>3.9</c:v>
                </c:pt>
                <c:pt idx="136">
                  <c:v>3.6</c:v>
                </c:pt>
                <c:pt idx="137">
                  <c:v>4.5999999999999996</c:v>
                </c:pt>
                <c:pt idx="138">
                  <c:v>3.3</c:v>
                </c:pt>
                <c:pt idx="139">
                  <c:v>7.7</c:v>
                </c:pt>
                <c:pt idx="140">
                  <c:v>3.62</c:v>
                </c:pt>
                <c:pt idx="141">
                  <c:v>7</c:v>
                </c:pt>
                <c:pt idx="142">
                  <c:v>6.6</c:v>
                </c:pt>
                <c:pt idx="143">
                  <c:v>6.8</c:v>
                </c:pt>
                <c:pt idx="144">
                  <c:v>5.7</c:v>
                </c:pt>
                <c:pt idx="145">
                  <c:v>6.2</c:v>
                </c:pt>
                <c:pt idx="146">
                  <c:v>8.5</c:v>
                </c:pt>
                <c:pt idx="147">
                  <c:v>6.8</c:v>
                </c:pt>
                <c:pt idx="148">
                  <c:v>4.7</c:v>
                </c:pt>
                <c:pt idx="149">
                  <c:v>2.6</c:v>
                </c:pt>
                <c:pt idx="150">
                  <c:v>1.3683333333333334</c:v>
                </c:pt>
                <c:pt idx="151">
                  <c:v>3.8</c:v>
                </c:pt>
                <c:pt idx="152">
                  <c:v>2.2000000000000002</c:v>
                </c:pt>
                <c:pt idx="153">
                  <c:v>3.8</c:v>
                </c:pt>
                <c:pt idx="154">
                  <c:v>1.7</c:v>
                </c:pt>
                <c:pt idx="155">
                  <c:v>2.5</c:v>
                </c:pt>
                <c:pt idx="156">
                  <c:v>0.8</c:v>
                </c:pt>
                <c:pt idx="157">
                  <c:v>2.2000000000000002</c:v>
                </c:pt>
                <c:pt idx="158">
                  <c:v>2.1</c:v>
                </c:pt>
                <c:pt idx="159">
                  <c:v>3.9</c:v>
                </c:pt>
                <c:pt idx="160">
                  <c:v>4.8999999999999995</c:v>
                </c:pt>
                <c:pt idx="161">
                  <c:v>10</c:v>
                </c:pt>
                <c:pt idx="162">
                  <c:v>7.6</c:v>
                </c:pt>
                <c:pt idx="163">
                  <c:v>6</c:v>
                </c:pt>
                <c:pt idx="164">
                  <c:v>11.6</c:v>
                </c:pt>
                <c:pt idx="165">
                  <c:v>11.5</c:v>
                </c:pt>
                <c:pt idx="166">
                  <c:v>7.8</c:v>
                </c:pt>
                <c:pt idx="167">
                  <c:v>8.1999999999999993</c:v>
                </c:pt>
                <c:pt idx="168">
                  <c:v>10</c:v>
                </c:pt>
                <c:pt idx="169">
                  <c:v>2.5</c:v>
                </c:pt>
                <c:pt idx="170">
                  <c:v>0</c:v>
                </c:pt>
                <c:pt idx="171">
                  <c:v>0</c:v>
                </c:pt>
                <c:pt idx="172">
                  <c:v>1.85</c:v>
                </c:pt>
                <c:pt idx="173">
                  <c:v>2</c:v>
                </c:pt>
                <c:pt idx="174">
                  <c:v>3</c:v>
                </c:pt>
                <c:pt idx="175">
                  <c:v>3.6</c:v>
                </c:pt>
                <c:pt idx="176">
                  <c:v>4.3</c:v>
                </c:pt>
                <c:pt idx="177">
                  <c:v>4</c:v>
                </c:pt>
                <c:pt idx="178">
                  <c:v>3.28</c:v>
                </c:pt>
                <c:pt idx="179">
                  <c:v>16</c:v>
                </c:pt>
                <c:pt idx="180">
                  <c:v>6</c:v>
                </c:pt>
                <c:pt idx="181">
                  <c:v>7.2</c:v>
                </c:pt>
                <c:pt idx="182">
                  <c:v>14.4</c:v>
                </c:pt>
                <c:pt idx="183">
                  <c:v>14.95</c:v>
                </c:pt>
                <c:pt idx="184">
                  <c:v>15.2</c:v>
                </c:pt>
                <c:pt idx="185">
                  <c:v>13.7</c:v>
                </c:pt>
                <c:pt idx="186">
                  <c:v>13.4</c:v>
                </c:pt>
                <c:pt idx="187">
                  <c:v>16</c:v>
                </c:pt>
                <c:pt idx="188">
                  <c:v>18</c:v>
                </c:pt>
                <c:pt idx="189">
                  <c:v>7.9</c:v>
                </c:pt>
                <c:pt idx="190">
                  <c:v>7.2199999999999989</c:v>
                </c:pt>
                <c:pt idx="191">
                  <c:v>7.12</c:v>
                </c:pt>
                <c:pt idx="192">
                  <c:v>6.5600000000000005</c:v>
                </c:pt>
                <c:pt idx="193">
                  <c:v>6.56</c:v>
                </c:pt>
                <c:pt idx="194">
                  <c:v>5.5199999999999987</c:v>
                </c:pt>
                <c:pt idx="195">
                  <c:v>7.7600000000000007</c:v>
                </c:pt>
                <c:pt idx="196">
                  <c:v>5.0699999999999994</c:v>
                </c:pt>
                <c:pt idx="197">
                  <c:v>4.92</c:v>
                </c:pt>
                <c:pt idx="198">
                  <c:v>7.1800000000000015</c:v>
                </c:pt>
                <c:pt idx="199">
                  <c:v>2.0200000000000005</c:v>
                </c:pt>
                <c:pt idx="200">
                  <c:v>1.7100000000000002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8-4527-9BFF-04A78644DBEA}"/>
            </c:ext>
          </c:extLst>
        </c:ser>
        <c:ser>
          <c:idx val="1"/>
          <c:order val="1"/>
          <c:tx>
            <c:strRef>
              <c:f>Sheet2!$F$1</c:f>
              <c:strCache>
                <c:ptCount val="1"/>
                <c:pt idx="0">
                  <c:v>MR VC 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Sheet2!$F$2:$F$202</c:f>
              <c:numCache>
                <c:formatCode>General</c:formatCode>
                <c:ptCount val="201"/>
                <c:pt idx="0">
                  <c:v>3.2</c:v>
                </c:pt>
                <c:pt idx="1">
                  <c:v>2.5833333333333335</c:v>
                </c:pt>
                <c:pt idx="2">
                  <c:v>2.5333333333333332</c:v>
                </c:pt>
                <c:pt idx="3">
                  <c:v>2.2800000000000002</c:v>
                </c:pt>
                <c:pt idx="4">
                  <c:v>2.875</c:v>
                </c:pt>
                <c:pt idx="5">
                  <c:v>2.5749999999999997</c:v>
                </c:pt>
                <c:pt idx="6">
                  <c:v>2.2333333333333334</c:v>
                </c:pt>
                <c:pt idx="7">
                  <c:v>2.4166666666666665</c:v>
                </c:pt>
                <c:pt idx="8">
                  <c:v>2.2249999999999996</c:v>
                </c:pt>
                <c:pt idx="9">
                  <c:v>2.1333333333333333</c:v>
                </c:pt>
                <c:pt idx="10">
                  <c:v>4</c:v>
                </c:pt>
                <c:pt idx="11">
                  <c:v>9</c:v>
                </c:pt>
                <c:pt idx="12">
                  <c:v>8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5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3.1</c:v>
                </c:pt>
                <c:pt idx="31">
                  <c:v>2.4000000000000004</c:v>
                </c:pt>
                <c:pt idx="32">
                  <c:v>3.4</c:v>
                </c:pt>
                <c:pt idx="33">
                  <c:v>2.6</c:v>
                </c:pt>
                <c:pt idx="34">
                  <c:v>3.5</c:v>
                </c:pt>
                <c:pt idx="35">
                  <c:v>3.2</c:v>
                </c:pt>
                <c:pt idx="36">
                  <c:v>3.9</c:v>
                </c:pt>
                <c:pt idx="37">
                  <c:v>2.6</c:v>
                </c:pt>
                <c:pt idx="38">
                  <c:v>2.5</c:v>
                </c:pt>
                <c:pt idx="39">
                  <c:v>2.9</c:v>
                </c:pt>
                <c:pt idx="40">
                  <c:v>2</c:v>
                </c:pt>
                <c:pt idx="41">
                  <c:v>2.4833333333333334</c:v>
                </c:pt>
                <c:pt idx="42">
                  <c:v>2.6</c:v>
                </c:pt>
                <c:pt idx="43">
                  <c:v>2.5</c:v>
                </c:pt>
                <c:pt idx="44">
                  <c:v>3.93</c:v>
                </c:pt>
                <c:pt idx="45">
                  <c:v>3.3400000000000007</c:v>
                </c:pt>
                <c:pt idx="46">
                  <c:v>2.2000000000000002</c:v>
                </c:pt>
                <c:pt idx="47">
                  <c:v>1.9</c:v>
                </c:pt>
                <c:pt idx="48">
                  <c:v>2.6</c:v>
                </c:pt>
                <c:pt idx="49">
                  <c:v>3.11</c:v>
                </c:pt>
                <c:pt idx="50">
                  <c:v>3.56</c:v>
                </c:pt>
                <c:pt idx="51">
                  <c:v>2.46</c:v>
                </c:pt>
                <c:pt idx="52">
                  <c:v>3.5</c:v>
                </c:pt>
                <c:pt idx="53">
                  <c:v>2.8</c:v>
                </c:pt>
                <c:pt idx="54">
                  <c:v>4.5999999999999996</c:v>
                </c:pt>
                <c:pt idx="55">
                  <c:v>3.5</c:v>
                </c:pt>
                <c:pt idx="56">
                  <c:v>4.7</c:v>
                </c:pt>
                <c:pt idx="57">
                  <c:v>3.3</c:v>
                </c:pt>
                <c:pt idx="58">
                  <c:v>3.5</c:v>
                </c:pt>
                <c:pt idx="59">
                  <c:v>3.3</c:v>
                </c:pt>
                <c:pt idx="60">
                  <c:v>2.2000000000000002</c:v>
                </c:pt>
                <c:pt idx="61">
                  <c:v>1.833333333333333</c:v>
                </c:pt>
                <c:pt idx="62">
                  <c:v>1.9</c:v>
                </c:pt>
                <c:pt idx="63">
                  <c:v>2.2000000000000002</c:v>
                </c:pt>
                <c:pt idx="64">
                  <c:v>1.8</c:v>
                </c:pt>
                <c:pt idx="65">
                  <c:v>1.6</c:v>
                </c:pt>
                <c:pt idx="66">
                  <c:v>1.9</c:v>
                </c:pt>
                <c:pt idx="67">
                  <c:v>1.9</c:v>
                </c:pt>
                <c:pt idx="68">
                  <c:v>1.8</c:v>
                </c:pt>
                <c:pt idx="69">
                  <c:v>2</c:v>
                </c:pt>
                <c:pt idx="70">
                  <c:v>3</c:v>
                </c:pt>
                <c:pt idx="71">
                  <c:v>2.3000000000000003</c:v>
                </c:pt>
                <c:pt idx="72">
                  <c:v>3.1</c:v>
                </c:pt>
                <c:pt idx="73">
                  <c:v>2.8</c:v>
                </c:pt>
                <c:pt idx="74">
                  <c:v>2.9428571428571431</c:v>
                </c:pt>
                <c:pt idx="75">
                  <c:v>3.34</c:v>
                </c:pt>
                <c:pt idx="76">
                  <c:v>2.72</c:v>
                </c:pt>
                <c:pt idx="77">
                  <c:v>3.23</c:v>
                </c:pt>
                <c:pt idx="78">
                  <c:v>3.32</c:v>
                </c:pt>
                <c:pt idx="79">
                  <c:v>3.28</c:v>
                </c:pt>
                <c:pt idx="80">
                  <c:v>3.3</c:v>
                </c:pt>
                <c:pt idx="81">
                  <c:v>3.17</c:v>
                </c:pt>
                <c:pt idx="82">
                  <c:v>2.5</c:v>
                </c:pt>
                <c:pt idx="83">
                  <c:v>2.7</c:v>
                </c:pt>
                <c:pt idx="84">
                  <c:v>2.6333333333333333</c:v>
                </c:pt>
                <c:pt idx="85">
                  <c:v>2.6</c:v>
                </c:pt>
                <c:pt idx="86">
                  <c:v>2.2666666666666671</c:v>
                </c:pt>
                <c:pt idx="87">
                  <c:v>2.6</c:v>
                </c:pt>
                <c:pt idx="88">
                  <c:v>2.7</c:v>
                </c:pt>
                <c:pt idx="89">
                  <c:v>3.1</c:v>
                </c:pt>
                <c:pt idx="90">
                  <c:v>1.5</c:v>
                </c:pt>
                <c:pt idx="91">
                  <c:v>1.75</c:v>
                </c:pt>
                <c:pt idx="92">
                  <c:v>2</c:v>
                </c:pt>
                <c:pt idx="93">
                  <c:v>1.9333333333333333</c:v>
                </c:pt>
                <c:pt idx="94">
                  <c:v>3.4</c:v>
                </c:pt>
                <c:pt idx="95">
                  <c:v>2.1</c:v>
                </c:pt>
                <c:pt idx="96">
                  <c:v>2.1</c:v>
                </c:pt>
                <c:pt idx="97">
                  <c:v>2.95</c:v>
                </c:pt>
                <c:pt idx="98">
                  <c:v>2.7</c:v>
                </c:pt>
                <c:pt idx="99">
                  <c:v>2.2857142857142856</c:v>
                </c:pt>
                <c:pt idx="100">
                  <c:v>2.7</c:v>
                </c:pt>
                <c:pt idx="101">
                  <c:v>1.5</c:v>
                </c:pt>
                <c:pt idx="102">
                  <c:v>3.4</c:v>
                </c:pt>
                <c:pt idx="103">
                  <c:v>2.6333333333333333</c:v>
                </c:pt>
                <c:pt idx="104">
                  <c:v>3.38</c:v>
                </c:pt>
                <c:pt idx="105">
                  <c:v>3.24</c:v>
                </c:pt>
                <c:pt idx="106">
                  <c:v>2.4</c:v>
                </c:pt>
                <c:pt idx="107">
                  <c:v>2.16</c:v>
                </c:pt>
                <c:pt idx="108">
                  <c:v>2.92</c:v>
                </c:pt>
                <c:pt idx="109">
                  <c:v>2.71</c:v>
                </c:pt>
                <c:pt idx="110">
                  <c:v>2.9</c:v>
                </c:pt>
                <c:pt idx="111">
                  <c:v>3.17</c:v>
                </c:pt>
                <c:pt idx="112">
                  <c:v>6.8</c:v>
                </c:pt>
                <c:pt idx="113">
                  <c:v>3.3285714285714287</c:v>
                </c:pt>
                <c:pt idx="114">
                  <c:v>4.9400000000000004</c:v>
                </c:pt>
                <c:pt idx="115">
                  <c:v>4.6500000000000004</c:v>
                </c:pt>
                <c:pt idx="116">
                  <c:v>6.1</c:v>
                </c:pt>
                <c:pt idx="117">
                  <c:v>5.75</c:v>
                </c:pt>
                <c:pt idx="118">
                  <c:v>5.54</c:v>
                </c:pt>
                <c:pt idx="119">
                  <c:v>6.34</c:v>
                </c:pt>
                <c:pt idx="120">
                  <c:v>4.33</c:v>
                </c:pt>
                <c:pt idx="121">
                  <c:v>5.48</c:v>
                </c:pt>
                <c:pt idx="122">
                  <c:v>2.96</c:v>
                </c:pt>
                <c:pt idx="123">
                  <c:v>2.2500000000000004</c:v>
                </c:pt>
                <c:pt idx="124">
                  <c:v>3.48</c:v>
                </c:pt>
                <c:pt idx="125">
                  <c:v>2.11</c:v>
                </c:pt>
                <c:pt idx="126">
                  <c:v>2.33</c:v>
                </c:pt>
                <c:pt idx="127">
                  <c:v>2.6</c:v>
                </c:pt>
                <c:pt idx="128">
                  <c:v>2.8</c:v>
                </c:pt>
                <c:pt idx="129">
                  <c:v>3.3</c:v>
                </c:pt>
                <c:pt idx="130">
                  <c:v>2.5500000000000003</c:v>
                </c:pt>
                <c:pt idx="131">
                  <c:v>3.5</c:v>
                </c:pt>
                <c:pt idx="132">
                  <c:v>3.4</c:v>
                </c:pt>
                <c:pt idx="133">
                  <c:v>3.1</c:v>
                </c:pt>
                <c:pt idx="134">
                  <c:v>3.4</c:v>
                </c:pt>
                <c:pt idx="135">
                  <c:v>4.2</c:v>
                </c:pt>
                <c:pt idx="136">
                  <c:v>3.2</c:v>
                </c:pt>
                <c:pt idx="137">
                  <c:v>3.9</c:v>
                </c:pt>
                <c:pt idx="138">
                  <c:v>3.8</c:v>
                </c:pt>
                <c:pt idx="139">
                  <c:v>4.7</c:v>
                </c:pt>
                <c:pt idx="140">
                  <c:v>3.5200000000000005</c:v>
                </c:pt>
                <c:pt idx="141">
                  <c:v>3</c:v>
                </c:pt>
                <c:pt idx="142">
                  <c:v>3.7</c:v>
                </c:pt>
                <c:pt idx="143">
                  <c:v>3.5</c:v>
                </c:pt>
                <c:pt idx="144">
                  <c:v>3.78</c:v>
                </c:pt>
                <c:pt idx="145">
                  <c:v>3.5</c:v>
                </c:pt>
                <c:pt idx="146">
                  <c:v>4</c:v>
                </c:pt>
                <c:pt idx="147">
                  <c:v>3.5</c:v>
                </c:pt>
                <c:pt idx="148">
                  <c:v>4.0999999999999996</c:v>
                </c:pt>
                <c:pt idx="149">
                  <c:v>3</c:v>
                </c:pt>
                <c:pt idx="150">
                  <c:v>3.25</c:v>
                </c:pt>
                <c:pt idx="151">
                  <c:v>4.5</c:v>
                </c:pt>
                <c:pt idx="152">
                  <c:v>2.9</c:v>
                </c:pt>
                <c:pt idx="153">
                  <c:v>3.6</c:v>
                </c:pt>
                <c:pt idx="154">
                  <c:v>2.9</c:v>
                </c:pt>
                <c:pt idx="155">
                  <c:v>3.4</c:v>
                </c:pt>
                <c:pt idx="156">
                  <c:v>2.6</c:v>
                </c:pt>
                <c:pt idx="157">
                  <c:v>3</c:v>
                </c:pt>
                <c:pt idx="158">
                  <c:v>3.5</c:v>
                </c:pt>
                <c:pt idx="159">
                  <c:v>2.6</c:v>
                </c:pt>
                <c:pt idx="160">
                  <c:v>4.0374999999999996</c:v>
                </c:pt>
                <c:pt idx="161">
                  <c:v>2.85</c:v>
                </c:pt>
                <c:pt idx="162">
                  <c:v>3.5</c:v>
                </c:pt>
                <c:pt idx="163">
                  <c:v>3.3</c:v>
                </c:pt>
                <c:pt idx="164">
                  <c:v>3.35</c:v>
                </c:pt>
                <c:pt idx="165">
                  <c:v>3</c:v>
                </c:pt>
                <c:pt idx="166">
                  <c:v>3.6</c:v>
                </c:pt>
                <c:pt idx="167">
                  <c:v>3.9</c:v>
                </c:pt>
                <c:pt idx="168">
                  <c:v>3</c:v>
                </c:pt>
                <c:pt idx="169">
                  <c:v>2.2000000000000002</c:v>
                </c:pt>
                <c:pt idx="170">
                  <c:v>0</c:v>
                </c:pt>
                <c:pt idx="171">
                  <c:v>0</c:v>
                </c:pt>
                <c:pt idx="172">
                  <c:v>2.2000000000000002</c:v>
                </c:pt>
                <c:pt idx="173">
                  <c:v>2.8</c:v>
                </c:pt>
                <c:pt idx="174">
                  <c:v>3.4</c:v>
                </c:pt>
                <c:pt idx="175">
                  <c:v>2.5</c:v>
                </c:pt>
                <c:pt idx="176">
                  <c:v>2.65</c:v>
                </c:pt>
                <c:pt idx="177">
                  <c:v>2.9</c:v>
                </c:pt>
                <c:pt idx="178">
                  <c:v>1.8</c:v>
                </c:pt>
                <c:pt idx="179">
                  <c:v>3.6</c:v>
                </c:pt>
                <c:pt idx="180">
                  <c:v>4.3</c:v>
                </c:pt>
                <c:pt idx="181">
                  <c:v>4.5</c:v>
                </c:pt>
                <c:pt idx="182">
                  <c:v>6.5</c:v>
                </c:pt>
                <c:pt idx="183">
                  <c:v>6.9</c:v>
                </c:pt>
                <c:pt idx="184">
                  <c:v>6.3</c:v>
                </c:pt>
                <c:pt idx="185">
                  <c:v>5.0999999999999996</c:v>
                </c:pt>
                <c:pt idx="186">
                  <c:v>5.8</c:v>
                </c:pt>
                <c:pt idx="187">
                  <c:v>5.5</c:v>
                </c:pt>
                <c:pt idx="188">
                  <c:v>5.3</c:v>
                </c:pt>
                <c:pt idx="189">
                  <c:v>5.2059999999999995</c:v>
                </c:pt>
                <c:pt idx="190">
                  <c:v>7.5200000000000005</c:v>
                </c:pt>
                <c:pt idx="191">
                  <c:v>6.82</c:v>
                </c:pt>
                <c:pt idx="192">
                  <c:v>8.16</c:v>
                </c:pt>
                <c:pt idx="193">
                  <c:v>8.3000000000000007</c:v>
                </c:pt>
                <c:pt idx="194">
                  <c:v>4.6360000000000001</c:v>
                </c:pt>
                <c:pt idx="195">
                  <c:v>4.66</c:v>
                </c:pt>
                <c:pt idx="196">
                  <c:v>2.94</c:v>
                </c:pt>
                <c:pt idx="197">
                  <c:v>2.88</c:v>
                </c:pt>
                <c:pt idx="198">
                  <c:v>4.17</c:v>
                </c:pt>
                <c:pt idx="199">
                  <c:v>4.6399999999999997</c:v>
                </c:pt>
                <c:pt idx="200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D8-4527-9BFF-04A78644DBEA}"/>
            </c:ext>
          </c:extLst>
        </c:ser>
        <c:ser>
          <c:idx val="2"/>
          <c:order val="2"/>
          <c:tx>
            <c:strRef>
              <c:f>Sheet2!$G$1</c:f>
              <c:strCache>
                <c:ptCount val="1"/>
                <c:pt idx="0">
                  <c:v>LA area cm2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Sheet2!$G$2:$G$202</c:f>
              <c:numCache>
                <c:formatCode>General</c:formatCode>
                <c:ptCount val="201"/>
                <c:pt idx="0">
                  <c:v>19.8</c:v>
                </c:pt>
                <c:pt idx="1">
                  <c:v>18.8</c:v>
                </c:pt>
                <c:pt idx="2">
                  <c:v>17.783333333333331</c:v>
                </c:pt>
                <c:pt idx="3">
                  <c:v>17.72</c:v>
                </c:pt>
                <c:pt idx="4">
                  <c:v>17.524999999999999</c:v>
                </c:pt>
                <c:pt idx="5">
                  <c:v>18.05</c:v>
                </c:pt>
                <c:pt idx="6">
                  <c:v>15.75</c:v>
                </c:pt>
                <c:pt idx="7">
                  <c:v>15.783333333333331</c:v>
                </c:pt>
                <c:pt idx="8">
                  <c:v>17.125</c:v>
                </c:pt>
                <c:pt idx="9">
                  <c:v>18.899999999999999</c:v>
                </c:pt>
                <c:pt idx="10">
                  <c:v>21.5</c:v>
                </c:pt>
                <c:pt idx="11">
                  <c:v>20.9</c:v>
                </c:pt>
                <c:pt idx="12">
                  <c:v>20.5</c:v>
                </c:pt>
                <c:pt idx="13">
                  <c:v>19.8</c:v>
                </c:pt>
                <c:pt idx="14">
                  <c:v>21.6</c:v>
                </c:pt>
                <c:pt idx="15">
                  <c:v>27.2</c:v>
                </c:pt>
                <c:pt idx="16">
                  <c:v>18.8</c:v>
                </c:pt>
                <c:pt idx="17">
                  <c:v>21.1</c:v>
                </c:pt>
                <c:pt idx="18">
                  <c:v>21.2</c:v>
                </c:pt>
                <c:pt idx="19">
                  <c:v>21.4</c:v>
                </c:pt>
                <c:pt idx="20">
                  <c:v>11.6</c:v>
                </c:pt>
                <c:pt idx="21">
                  <c:v>11.8</c:v>
                </c:pt>
                <c:pt idx="22">
                  <c:v>10.9</c:v>
                </c:pt>
                <c:pt idx="23">
                  <c:v>11.6</c:v>
                </c:pt>
                <c:pt idx="24">
                  <c:v>11.3</c:v>
                </c:pt>
                <c:pt idx="25">
                  <c:v>11.7</c:v>
                </c:pt>
                <c:pt idx="26">
                  <c:v>9.5</c:v>
                </c:pt>
                <c:pt idx="27">
                  <c:v>9.1</c:v>
                </c:pt>
                <c:pt idx="28">
                  <c:v>11.7</c:v>
                </c:pt>
                <c:pt idx="29">
                  <c:v>11.5</c:v>
                </c:pt>
                <c:pt idx="30">
                  <c:v>22.5</c:v>
                </c:pt>
                <c:pt idx="31">
                  <c:v>21.025000000000002</c:v>
                </c:pt>
                <c:pt idx="32">
                  <c:v>23.1</c:v>
                </c:pt>
                <c:pt idx="33">
                  <c:v>23.23</c:v>
                </c:pt>
                <c:pt idx="34">
                  <c:v>24</c:v>
                </c:pt>
                <c:pt idx="35">
                  <c:v>23.7</c:v>
                </c:pt>
                <c:pt idx="36">
                  <c:v>23.5</c:v>
                </c:pt>
                <c:pt idx="37">
                  <c:v>23.4</c:v>
                </c:pt>
                <c:pt idx="38">
                  <c:v>23.6</c:v>
                </c:pt>
                <c:pt idx="39">
                  <c:v>24.3</c:v>
                </c:pt>
                <c:pt idx="40">
                  <c:v>24</c:v>
                </c:pt>
                <c:pt idx="41">
                  <c:v>24.5</c:v>
                </c:pt>
                <c:pt idx="42">
                  <c:v>22</c:v>
                </c:pt>
                <c:pt idx="43">
                  <c:v>23.4</c:v>
                </c:pt>
                <c:pt idx="44">
                  <c:v>27.8</c:v>
                </c:pt>
                <c:pt idx="45">
                  <c:v>24.4</c:v>
                </c:pt>
                <c:pt idx="46">
                  <c:v>24.6</c:v>
                </c:pt>
                <c:pt idx="47">
                  <c:v>23.7</c:v>
                </c:pt>
                <c:pt idx="48">
                  <c:v>24.5</c:v>
                </c:pt>
                <c:pt idx="49">
                  <c:v>25.4</c:v>
                </c:pt>
                <c:pt idx="50">
                  <c:v>26.5</c:v>
                </c:pt>
                <c:pt idx="51">
                  <c:v>17.619999999999997</c:v>
                </c:pt>
                <c:pt idx="52">
                  <c:v>20.6</c:v>
                </c:pt>
                <c:pt idx="53">
                  <c:v>20.2</c:v>
                </c:pt>
                <c:pt idx="54">
                  <c:v>20.7</c:v>
                </c:pt>
                <c:pt idx="55">
                  <c:v>21.7</c:v>
                </c:pt>
                <c:pt idx="56">
                  <c:v>21.3</c:v>
                </c:pt>
                <c:pt idx="57">
                  <c:v>20.100000000000001</c:v>
                </c:pt>
                <c:pt idx="58">
                  <c:v>19.7</c:v>
                </c:pt>
                <c:pt idx="59">
                  <c:v>18.2</c:v>
                </c:pt>
                <c:pt idx="60">
                  <c:v>24</c:v>
                </c:pt>
                <c:pt idx="61">
                  <c:v>23.3</c:v>
                </c:pt>
                <c:pt idx="62">
                  <c:v>20.100000000000001</c:v>
                </c:pt>
                <c:pt idx="63">
                  <c:v>21.1</c:v>
                </c:pt>
                <c:pt idx="64">
                  <c:v>24.5</c:v>
                </c:pt>
                <c:pt idx="65">
                  <c:v>24.3</c:v>
                </c:pt>
                <c:pt idx="66">
                  <c:v>21.1</c:v>
                </c:pt>
                <c:pt idx="67">
                  <c:v>21.1</c:v>
                </c:pt>
                <c:pt idx="68">
                  <c:v>22.4</c:v>
                </c:pt>
                <c:pt idx="69">
                  <c:v>20.8</c:v>
                </c:pt>
                <c:pt idx="70">
                  <c:v>30.8</c:v>
                </c:pt>
                <c:pt idx="71">
                  <c:v>27.3</c:v>
                </c:pt>
                <c:pt idx="72">
                  <c:v>25.8</c:v>
                </c:pt>
                <c:pt idx="73">
                  <c:v>34.42</c:v>
                </c:pt>
                <c:pt idx="74">
                  <c:v>37.814285714285724</c:v>
                </c:pt>
                <c:pt idx="75">
                  <c:v>38.200000000000003</c:v>
                </c:pt>
                <c:pt idx="76">
                  <c:v>40.9</c:v>
                </c:pt>
                <c:pt idx="77">
                  <c:v>35.9</c:v>
                </c:pt>
                <c:pt idx="78">
                  <c:v>40.6</c:v>
                </c:pt>
                <c:pt idx="79">
                  <c:v>38.700000000000003</c:v>
                </c:pt>
                <c:pt idx="80">
                  <c:v>39.14</c:v>
                </c:pt>
                <c:pt idx="81">
                  <c:v>36.700000000000003</c:v>
                </c:pt>
                <c:pt idx="82">
                  <c:v>40.799999999999997</c:v>
                </c:pt>
                <c:pt idx="83">
                  <c:v>25.11</c:v>
                </c:pt>
                <c:pt idx="84">
                  <c:v>25.333333333333332</c:v>
                </c:pt>
                <c:pt idx="85">
                  <c:v>25.11</c:v>
                </c:pt>
                <c:pt idx="86">
                  <c:v>20.616666666666671</c:v>
                </c:pt>
                <c:pt idx="87">
                  <c:v>18.45</c:v>
                </c:pt>
                <c:pt idx="88">
                  <c:v>25.13</c:v>
                </c:pt>
                <c:pt idx="89">
                  <c:v>26.79</c:v>
                </c:pt>
                <c:pt idx="90">
                  <c:v>27.7</c:v>
                </c:pt>
                <c:pt idx="91">
                  <c:v>25.47</c:v>
                </c:pt>
                <c:pt idx="92">
                  <c:v>22.8</c:v>
                </c:pt>
                <c:pt idx="93">
                  <c:v>23.383333333333329</c:v>
                </c:pt>
                <c:pt idx="94">
                  <c:v>23.2</c:v>
                </c:pt>
                <c:pt idx="95">
                  <c:v>19.600000000000001</c:v>
                </c:pt>
                <c:pt idx="96">
                  <c:v>17.8</c:v>
                </c:pt>
                <c:pt idx="97">
                  <c:v>20.9</c:v>
                </c:pt>
                <c:pt idx="98">
                  <c:v>29.9</c:v>
                </c:pt>
                <c:pt idx="99">
                  <c:v>25.171428571428574</c:v>
                </c:pt>
                <c:pt idx="100">
                  <c:v>27.5</c:v>
                </c:pt>
                <c:pt idx="101">
                  <c:v>29.67</c:v>
                </c:pt>
                <c:pt idx="102">
                  <c:v>18.8</c:v>
                </c:pt>
                <c:pt idx="103">
                  <c:v>17.899999999999999</c:v>
                </c:pt>
                <c:pt idx="104">
                  <c:v>20.9</c:v>
                </c:pt>
                <c:pt idx="105">
                  <c:v>20.78</c:v>
                </c:pt>
                <c:pt idx="106">
                  <c:v>18.3</c:v>
                </c:pt>
                <c:pt idx="107">
                  <c:v>18.100000000000001</c:v>
                </c:pt>
                <c:pt idx="108">
                  <c:v>19.46</c:v>
                </c:pt>
                <c:pt idx="109">
                  <c:v>19.8</c:v>
                </c:pt>
                <c:pt idx="110">
                  <c:v>19.2</c:v>
                </c:pt>
                <c:pt idx="111">
                  <c:v>18.899999999999999</c:v>
                </c:pt>
                <c:pt idx="112">
                  <c:v>69.5</c:v>
                </c:pt>
                <c:pt idx="113">
                  <c:v>61.900000000000013</c:v>
                </c:pt>
                <c:pt idx="114">
                  <c:v>70</c:v>
                </c:pt>
                <c:pt idx="115">
                  <c:v>68.400000000000006</c:v>
                </c:pt>
                <c:pt idx="116">
                  <c:v>70.8</c:v>
                </c:pt>
                <c:pt idx="117">
                  <c:v>70.5</c:v>
                </c:pt>
                <c:pt idx="118">
                  <c:v>69.900000000000006</c:v>
                </c:pt>
                <c:pt idx="119">
                  <c:v>69.5</c:v>
                </c:pt>
                <c:pt idx="120">
                  <c:v>71.900000000000006</c:v>
                </c:pt>
                <c:pt idx="121">
                  <c:v>71.3</c:v>
                </c:pt>
                <c:pt idx="122">
                  <c:v>31.3</c:v>
                </c:pt>
                <c:pt idx="123">
                  <c:v>27.583333333333332</c:v>
                </c:pt>
                <c:pt idx="124">
                  <c:v>30.8</c:v>
                </c:pt>
                <c:pt idx="125">
                  <c:v>30.8</c:v>
                </c:pt>
                <c:pt idx="126">
                  <c:v>29.6</c:v>
                </c:pt>
                <c:pt idx="127">
                  <c:v>31.5</c:v>
                </c:pt>
                <c:pt idx="128">
                  <c:v>31.3</c:v>
                </c:pt>
                <c:pt idx="129">
                  <c:v>22.9</c:v>
                </c:pt>
                <c:pt idx="130">
                  <c:v>20.183333333333337</c:v>
                </c:pt>
                <c:pt idx="131">
                  <c:v>21.6</c:v>
                </c:pt>
                <c:pt idx="132">
                  <c:v>22.5</c:v>
                </c:pt>
                <c:pt idx="133">
                  <c:v>18.5</c:v>
                </c:pt>
                <c:pt idx="134">
                  <c:v>22.3</c:v>
                </c:pt>
                <c:pt idx="135">
                  <c:v>20.3</c:v>
                </c:pt>
                <c:pt idx="136">
                  <c:v>18</c:v>
                </c:pt>
                <c:pt idx="137">
                  <c:v>15.3</c:v>
                </c:pt>
                <c:pt idx="138">
                  <c:v>16.899999999999999</c:v>
                </c:pt>
                <c:pt idx="139">
                  <c:v>30.5</c:v>
                </c:pt>
                <c:pt idx="140">
                  <c:v>30.454000000000001</c:v>
                </c:pt>
                <c:pt idx="141">
                  <c:v>31.8</c:v>
                </c:pt>
                <c:pt idx="142">
                  <c:v>27.6</c:v>
                </c:pt>
                <c:pt idx="143">
                  <c:v>29.7</c:v>
                </c:pt>
                <c:pt idx="144">
                  <c:v>29</c:v>
                </c:pt>
                <c:pt idx="145">
                  <c:v>28</c:v>
                </c:pt>
                <c:pt idx="146">
                  <c:v>30.6</c:v>
                </c:pt>
                <c:pt idx="147">
                  <c:v>34</c:v>
                </c:pt>
                <c:pt idx="148">
                  <c:v>30.4</c:v>
                </c:pt>
                <c:pt idx="149">
                  <c:v>29.6</c:v>
                </c:pt>
                <c:pt idx="150">
                  <c:v>25.866666666666664</c:v>
                </c:pt>
                <c:pt idx="151">
                  <c:v>26.8</c:v>
                </c:pt>
                <c:pt idx="152">
                  <c:v>28.2</c:v>
                </c:pt>
                <c:pt idx="153">
                  <c:v>28.1</c:v>
                </c:pt>
                <c:pt idx="154">
                  <c:v>25.2</c:v>
                </c:pt>
                <c:pt idx="155">
                  <c:v>27</c:v>
                </c:pt>
                <c:pt idx="156">
                  <c:v>25.2</c:v>
                </c:pt>
                <c:pt idx="157">
                  <c:v>28.7</c:v>
                </c:pt>
                <c:pt idx="158">
                  <c:v>28.1</c:v>
                </c:pt>
                <c:pt idx="159">
                  <c:v>25.9</c:v>
                </c:pt>
                <c:pt idx="160">
                  <c:v>23.024999999999999</c:v>
                </c:pt>
                <c:pt idx="161">
                  <c:v>20.2</c:v>
                </c:pt>
                <c:pt idx="162">
                  <c:v>17.899999999999999</c:v>
                </c:pt>
                <c:pt idx="163">
                  <c:v>23.9</c:v>
                </c:pt>
                <c:pt idx="164">
                  <c:v>24.3</c:v>
                </c:pt>
                <c:pt idx="165">
                  <c:v>22.5</c:v>
                </c:pt>
                <c:pt idx="166">
                  <c:v>17.600000000000001</c:v>
                </c:pt>
                <c:pt idx="167">
                  <c:v>21.7</c:v>
                </c:pt>
                <c:pt idx="168">
                  <c:v>25</c:v>
                </c:pt>
                <c:pt idx="169">
                  <c:v>13.5</c:v>
                </c:pt>
                <c:pt idx="170">
                  <c:v>16</c:v>
                </c:pt>
                <c:pt idx="171">
                  <c:v>15</c:v>
                </c:pt>
                <c:pt idx="172">
                  <c:v>13</c:v>
                </c:pt>
                <c:pt idx="173">
                  <c:v>14</c:v>
                </c:pt>
                <c:pt idx="174">
                  <c:v>16</c:v>
                </c:pt>
                <c:pt idx="175">
                  <c:v>11.3</c:v>
                </c:pt>
                <c:pt idx="176">
                  <c:v>12.75</c:v>
                </c:pt>
                <c:pt idx="177">
                  <c:v>11.8</c:v>
                </c:pt>
                <c:pt idx="178">
                  <c:v>11.8</c:v>
                </c:pt>
                <c:pt idx="179">
                  <c:v>22.75</c:v>
                </c:pt>
                <c:pt idx="180">
                  <c:v>22.3</c:v>
                </c:pt>
                <c:pt idx="181">
                  <c:v>29</c:v>
                </c:pt>
                <c:pt idx="182">
                  <c:v>20.5</c:v>
                </c:pt>
                <c:pt idx="183">
                  <c:v>26.2</c:v>
                </c:pt>
                <c:pt idx="184">
                  <c:v>26</c:v>
                </c:pt>
                <c:pt idx="185">
                  <c:v>24</c:v>
                </c:pt>
                <c:pt idx="186">
                  <c:v>25.5</c:v>
                </c:pt>
                <c:pt idx="187">
                  <c:v>26.5</c:v>
                </c:pt>
                <c:pt idx="188">
                  <c:v>24.6</c:v>
                </c:pt>
                <c:pt idx="189">
                  <c:v>18.639999999999997</c:v>
                </c:pt>
                <c:pt idx="190">
                  <c:v>14.179999999999998</c:v>
                </c:pt>
                <c:pt idx="191">
                  <c:v>14.14</c:v>
                </c:pt>
                <c:pt idx="192">
                  <c:v>14.080000000000002</c:v>
                </c:pt>
                <c:pt idx="193">
                  <c:v>16.559999999999999</c:v>
                </c:pt>
                <c:pt idx="194">
                  <c:v>12.036000000000001</c:v>
                </c:pt>
                <c:pt idx="195">
                  <c:v>15.054000000000002</c:v>
                </c:pt>
                <c:pt idx="196">
                  <c:v>14.472</c:v>
                </c:pt>
                <c:pt idx="197">
                  <c:v>13.02</c:v>
                </c:pt>
                <c:pt idx="198">
                  <c:v>14.66</c:v>
                </c:pt>
                <c:pt idx="199">
                  <c:v>10.66</c:v>
                </c:pt>
                <c:pt idx="200">
                  <c:v>11.280000000000001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D8-4527-9BFF-04A78644DBEA}"/>
            </c:ext>
          </c:extLst>
        </c:ser>
        <c:ser>
          <c:idx val="4"/>
          <c:order val="3"/>
          <c:tx>
            <c:strRef>
              <c:f>Sheet2!$I$1</c:f>
              <c:strCache>
                <c:ptCount val="1"/>
                <c:pt idx="0">
                  <c:v>MV tenting height mm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Sheet2!$I$2:$I$202</c:f>
              <c:numCache>
                <c:formatCode>General</c:formatCode>
                <c:ptCount val="201"/>
                <c:pt idx="0">
                  <c:v>3.94</c:v>
                </c:pt>
                <c:pt idx="1">
                  <c:v>6.8166666666666664</c:v>
                </c:pt>
                <c:pt idx="2">
                  <c:v>7.95</c:v>
                </c:pt>
                <c:pt idx="3">
                  <c:v>4.42</c:v>
                </c:pt>
                <c:pt idx="4">
                  <c:v>4.6500000000000004</c:v>
                </c:pt>
                <c:pt idx="5">
                  <c:v>4.25</c:v>
                </c:pt>
                <c:pt idx="6">
                  <c:v>6.2833333333333323</c:v>
                </c:pt>
                <c:pt idx="7">
                  <c:v>5.4833333333333334</c:v>
                </c:pt>
                <c:pt idx="8">
                  <c:v>3.8250000000000002</c:v>
                </c:pt>
                <c:pt idx="9">
                  <c:v>7.2666666666666666</c:v>
                </c:pt>
                <c:pt idx="10">
                  <c:v>15</c:v>
                </c:pt>
                <c:pt idx="11">
                  <c:v>17</c:v>
                </c:pt>
                <c:pt idx="12">
                  <c:v>15</c:v>
                </c:pt>
                <c:pt idx="13">
                  <c:v>17</c:v>
                </c:pt>
                <c:pt idx="14">
                  <c:v>17</c:v>
                </c:pt>
                <c:pt idx="15">
                  <c:v>15</c:v>
                </c:pt>
                <c:pt idx="16">
                  <c:v>18</c:v>
                </c:pt>
                <c:pt idx="17">
                  <c:v>23</c:v>
                </c:pt>
                <c:pt idx="18">
                  <c:v>19</c:v>
                </c:pt>
                <c:pt idx="19">
                  <c:v>21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5</c:v>
                </c:pt>
                <c:pt idx="29">
                  <c:v>5</c:v>
                </c:pt>
                <c:pt idx="30">
                  <c:v>4.2</c:v>
                </c:pt>
                <c:pt idx="31">
                  <c:v>0</c:v>
                </c:pt>
                <c:pt idx="32">
                  <c:v>4.2</c:v>
                </c:pt>
                <c:pt idx="33">
                  <c:v>4</c:v>
                </c:pt>
                <c:pt idx="34">
                  <c:v>3.9</c:v>
                </c:pt>
                <c:pt idx="35">
                  <c:v>3.3</c:v>
                </c:pt>
                <c:pt idx="36">
                  <c:v>3.8</c:v>
                </c:pt>
                <c:pt idx="37">
                  <c:v>3.4</c:v>
                </c:pt>
                <c:pt idx="38">
                  <c:v>4.4000000000000004</c:v>
                </c:pt>
                <c:pt idx="39">
                  <c:v>4.0999999999999996</c:v>
                </c:pt>
                <c:pt idx="40">
                  <c:v>9.3000000000000007</c:v>
                </c:pt>
                <c:pt idx="41">
                  <c:v>0</c:v>
                </c:pt>
                <c:pt idx="42">
                  <c:v>9</c:v>
                </c:pt>
                <c:pt idx="43">
                  <c:v>7.4</c:v>
                </c:pt>
                <c:pt idx="44">
                  <c:v>6.1</c:v>
                </c:pt>
                <c:pt idx="45">
                  <c:v>0</c:v>
                </c:pt>
                <c:pt idx="46">
                  <c:v>5.2</c:v>
                </c:pt>
                <c:pt idx="47">
                  <c:v>4</c:v>
                </c:pt>
                <c:pt idx="48">
                  <c:v>3.7</c:v>
                </c:pt>
                <c:pt idx="49">
                  <c:v>4.8</c:v>
                </c:pt>
                <c:pt idx="50">
                  <c:v>4.3</c:v>
                </c:pt>
                <c:pt idx="51">
                  <c:v>0</c:v>
                </c:pt>
                <c:pt idx="52">
                  <c:v>3.3</c:v>
                </c:pt>
                <c:pt idx="53">
                  <c:v>2.1</c:v>
                </c:pt>
                <c:pt idx="54">
                  <c:v>2.7</c:v>
                </c:pt>
                <c:pt idx="55">
                  <c:v>2</c:v>
                </c:pt>
                <c:pt idx="56">
                  <c:v>3.3</c:v>
                </c:pt>
                <c:pt idx="57">
                  <c:v>2.9</c:v>
                </c:pt>
                <c:pt idx="58">
                  <c:v>2.6</c:v>
                </c:pt>
                <c:pt idx="59">
                  <c:v>3.4</c:v>
                </c:pt>
                <c:pt idx="60">
                  <c:v>4.3</c:v>
                </c:pt>
                <c:pt idx="61">
                  <c:v>5</c:v>
                </c:pt>
                <c:pt idx="62">
                  <c:v>6</c:v>
                </c:pt>
                <c:pt idx="63">
                  <c:v>5.2</c:v>
                </c:pt>
                <c:pt idx="64">
                  <c:v>7.8</c:v>
                </c:pt>
                <c:pt idx="65">
                  <c:v>5.5</c:v>
                </c:pt>
                <c:pt idx="66">
                  <c:v>6.4</c:v>
                </c:pt>
                <c:pt idx="67">
                  <c:v>7.9</c:v>
                </c:pt>
                <c:pt idx="68">
                  <c:v>5.8</c:v>
                </c:pt>
                <c:pt idx="69">
                  <c:v>6.9</c:v>
                </c:pt>
                <c:pt idx="70">
                  <c:v>3.7</c:v>
                </c:pt>
                <c:pt idx="71">
                  <c:v>0</c:v>
                </c:pt>
                <c:pt idx="72">
                  <c:v>3.3</c:v>
                </c:pt>
                <c:pt idx="73">
                  <c:v>7</c:v>
                </c:pt>
                <c:pt idx="74">
                  <c:v>0</c:v>
                </c:pt>
                <c:pt idx="75">
                  <c:v>6.3</c:v>
                </c:pt>
                <c:pt idx="76">
                  <c:v>6.1</c:v>
                </c:pt>
                <c:pt idx="77">
                  <c:v>7</c:v>
                </c:pt>
                <c:pt idx="78">
                  <c:v>5.8</c:v>
                </c:pt>
                <c:pt idx="79">
                  <c:v>6.8</c:v>
                </c:pt>
                <c:pt idx="80">
                  <c:v>6.3</c:v>
                </c:pt>
                <c:pt idx="81">
                  <c:v>7</c:v>
                </c:pt>
                <c:pt idx="82">
                  <c:v>6</c:v>
                </c:pt>
                <c:pt idx="83">
                  <c:v>6</c:v>
                </c:pt>
                <c:pt idx="84">
                  <c:v>0</c:v>
                </c:pt>
                <c:pt idx="85">
                  <c:v>2.4</c:v>
                </c:pt>
                <c:pt idx="86">
                  <c:v>0</c:v>
                </c:pt>
                <c:pt idx="87">
                  <c:v>0</c:v>
                </c:pt>
                <c:pt idx="88">
                  <c:v>5.8</c:v>
                </c:pt>
                <c:pt idx="89">
                  <c:v>8.6</c:v>
                </c:pt>
                <c:pt idx="90">
                  <c:v>8.6999999999999993</c:v>
                </c:pt>
                <c:pt idx="91">
                  <c:v>7.6</c:v>
                </c:pt>
                <c:pt idx="92">
                  <c:v>6.2</c:v>
                </c:pt>
                <c:pt idx="93">
                  <c:v>0</c:v>
                </c:pt>
                <c:pt idx="94">
                  <c:v>6.9</c:v>
                </c:pt>
                <c:pt idx="95">
                  <c:v>6.2</c:v>
                </c:pt>
                <c:pt idx="96">
                  <c:v>3.8</c:v>
                </c:pt>
                <c:pt idx="97">
                  <c:v>4.2</c:v>
                </c:pt>
                <c:pt idx="98">
                  <c:v>9.5</c:v>
                </c:pt>
                <c:pt idx="99">
                  <c:v>0</c:v>
                </c:pt>
                <c:pt idx="100">
                  <c:v>8.6999999999999993</c:v>
                </c:pt>
                <c:pt idx="101">
                  <c:v>10</c:v>
                </c:pt>
                <c:pt idx="102">
                  <c:v>5.3</c:v>
                </c:pt>
                <c:pt idx="103">
                  <c:v>0</c:v>
                </c:pt>
                <c:pt idx="104">
                  <c:v>4.0999999999999996</c:v>
                </c:pt>
                <c:pt idx="105">
                  <c:v>4.4000000000000004</c:v>
                </c:pt>
                <c:pt idx="106">
                  <c:v>3.7</c:v>
                </c:pt>
                <c:pt idx="107">
                  <c:v>3.5</c:v>
                </c:pt>
                <c:pt idx="108">
                  <c:v>4.0999999999999996</c:v>
                </c:pt>
                <c:pt idx="109">
                  <c:v>4.5</c:v>
                </c:pt>
                <c:pt idx="110">
                  <c:v>4.7</c:v>
                </c:pt>
                <c:pt idx="111">
                  <c:v>3.9</c:v>
                </c:pt>
                <c:pt idx="112">
                  <c:v>6</c:v>
                </c:pt>
                <c:pt idx="113">
                  <c:v>0</c:v>
                </c:pt>
                <c:pt idx="114">
                  <c:v>7.2</c:v>
                </c:pt>
                <c:pt idx="115">
                  <c:v>6.2</c:v>
                </c:pt>
                <c:pt idx="116">
                  <c:v>7.5</c:v>
                </c:pt>
                <c:pt idx="117">
                  <c:v>3.8</c:v>
                </c:pt>
                <c:pt idx="118">
                  <c:v>5.4</c:v>
                </c:pt>
                <c:pt idx="119">
                  <c:v>7</c:v>
                </c:pt>
                <c:pt idx="120">
                  <c:v>2.6</c:v>
                </c:pt>
                <c:pt idx="121">
                  <c:v>5.7</c:v>
                </c:pt>
                <c:pt idx="122">
                  <c:v>6.6</c:v>
                </c:pt>
                <c:pt idx="123">
                  <c:v>0</c:v>
                </c:pt>
                <c:pt idx="124">
                  <c:v>6.9</c:v>
                </c:pt>
                <c:pt idx="125">
                  <c:v>6.6</c:v>
                </c:pt>
                <c:pt idx="126">
                  <c:v>6</c:v>
                </c:pt>
                <c:pt idx="127">
                  <c:v>5.9</c:v>
                </c:pt>
                <c:pt idx="128">
                  <c:v>0</c:v>
                </c:pt>
                <c:pt idx="129">
                  <c:v>9.3000000000000007</c:v>
                </c:pt>
                <c:pt idx="130">
                  <c:v>0</c:v>
                </c:pt>
                <c:pt idx="131">
                  <c:v>7.6</c:v>
                </c:pt>
                <c:pt idx="132">
                  <c:v>10.1</c:v>
                </c:pt>
                <c:pt idx="133">
                  <c:v>8.3000000000000007</c:v>
                </c:pt>
                <c:pt idx="134">
                  <c:v>10.199999999999999</c:v>
                </c:pt>
                <c:pt idx="135">
                  <c:v>10.5</c:v>
                </c:pt>
                <c:pt idx="136">
                  <c:v>8.4</c:v>
                </c:pt>
                <c:pt idx="137">
                  <c:v>11.8</c:v>
                </c:pt>
                <c:pt idx="138">
                  <c:v>7.7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2.8</c:v>
                </c:pt>
                <c:pt idx="143">
                  <c:v>2.2999999999999998</c:v>
                </c:pt>
                <c:pt idx="144">
                  <c:v>3</c:v>
                </c:pt>
                <c:pt idx="145">
                  <c:v>0</c:v>
                </c:pt>
                <c:pt idx="146">
                  <c:v>2.1</c:v>
                </c:pt>
                <c:pt idx="147">
                  <c:v>5.7</c:v>
                </c:pt>
                <c:pt idx="148">
                  <c:v>2.7</c:v>
                </c:pt>
                <c:pt idx="149">
                  <c:v>5</c:v>
                </c:pt>
                <c:pt idx="150">
                  <c:v>0</c:v>
                </c:pt>
                <c:pt idx="151">
                  <c:v>6</c:v>
                </c:pt>
                <c:pt idx="152">
                  <c:v>4.0999999999999996</c:v>
                </c:pt>
                <c:pt idx="153">
                  <c:v>4.3</c:v>
                </c:pt>
                <c:pt idx="154">
                  <c:v>5</c:v>
                </c:pt>
                <c:pt idx="155">
                  <c:v>4.7</c:v>
                </c:pt>
                <c:pt idx="156">
                  <c:v>4.2</c:v>
                </c:pt>
                <c:pt idx="157">
                  <c:v>3.2</c:v>
                </c:pt>
                <c:pt idx="158">
                  <c:v>4.2</c:v>
                </c:pt>
                <c:pt idx="159">
                  <c:v>4.3</c:v>
                </c:pt>
                <c:pt idx="160">
                  <c:v>0</c:v>
                </c:pt>
                <c:pt idx="161">
                  <c:v>2.6</c:v>
                </c:pt>
                <c:pt idx="162">
                  <c:v>4.5</c:v>
                </c:pt>
                <c:pt idx="163">
                  <c:v>4.4000000000000004</c:v>
                </c:pt>
                <c:pt idx="164">
                  <c:v>3</c:v>
                </c:pt>
                <c:pt idx="165">
                  <c:v>4.3</c:v>
                </c:pt>
                <c:pt idx="166">
                  <c:v>3.8</c:v>
                </c:pt>
                <c:pt idx="167">
                  <c:v>3.9</c:v>
                </c:pt>
                <c:pt idx="168">
                  <c:v>4.5999999999999996</c:v>
                </c:pt>
                <c:pt idx="169">
                  <c:v>8</c:v>
                </c:pt>
                <c:pt idx="170">
                  <c:v>7.5</c:v>
                </c:pt>
                <c:pt idx="171">
                  <c:v>8</c:v>
                </c:pt>
                <c:pt idx="172">
                  <c:v>8.5</c:v>
                </c:pt>
                <c:pt idx="173">
                  <c:v>8.1</c:v>
                </c:pt>
                <c:pt idx="174">
                  <c:v>5</c:v>
                </c:pt>
                <c:pt idx="175">
                  <c:v>6.17</c:v>
                </c:pt>
                <c:pt idx="176">
                  <c:v>8.6999999999999993</c:v>
                </c:pt>
                <c:pt idx="177">
                  <c:v>8.5</c:v>
                </c:pt>
                <c:pt idx="178">
                  <c:v>7.2</c:v>
                </c:pt>
                <c:pt idx="179">
                  <c:v>5</c:v>
                </c:pt>
                <c:pt idx="180">
                  <c:v>5.5</c:v>
                </c:pt>
                <c:pt idx="181">
                  <c:v>4.5</c:v>
                </c:pt>
                <c:pt idx="182">
                  <c:v>2.5</c:v>
                </c:pt>
                <c:pt idx="183">
                  <c:v>5</c:v>
                </c:pt>
                <c:pt idx="184">
                  <c:v>4.2</c:v>
                </c:pt>
                <c:pt idx="185">
                  <c:v>4.8</c:v>
                </c:pt>
                <c:pt idx="186">
                  <c:v>4.5999999999999996</c:v>
                </c:pt>
                <c:pt idx="187">
                  <c:v>4.5999999999999996</c:v>
                </c:pt>
                <c:pt idx="188">
                  <c:v>4.4000000000000004</c:v>
                </c:pt>
                <c:pt idx="189">
                  <c:v>10.16</c:v>
                </c:pt>
                <c:pt idx="190">
                  <c:v>10.080000000000002</c:v>
                </c:pt>
                <c:pt idx="191">
                  <c:v>10.34</c:v>
                </c:pt>
                <c:pt idx="192">
                  <c:v>9.4599999999999991</c:v>
                </c:pt>
                <c:pt idx="193">
                  <c:v>10.459999999999999</c:v>
                </c:pt>
                <c:pt idx="194">
                  <c:v>11.440000000000001</c:v>
                </c:pt>
                <c:pt idx="195">
                  <c:v>11.02</c:v>
                </c:pt>
                <c:pt idx="196">
                  <c:v>11.18</c:v>
                </c:pt>
                <c:pt idx="197">
                  <c:v>10.36</c:v>
                </c:pt>
                <c:pt idx="198">
                  <c:v>10.580000000000002</c:v>
                </c:pt>
                <c:pt idx="199">
                  <c:v>11.3</c:v>
                </c:pt>
                <c:pt idx="200">
                  <c:v>9.3279999999999994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D8-4527-9BFF-04A78644DBEA}"/>
            </c:ext>
          </c:extLst>
        </c:ser>
        <c:ser>
          <c:idx val="5"/>
          <c:order val="4"/>
          <c:tx>
            <c:strRef>
              <c:f>Sheet2!$J$1</c:f>
              <c:strCache>
                <c:ptCount val="1"/>
                <c:pt idx="0">
                  <c:v>MV annulus 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Sheet2!$J$2:$J$202</c:f>
              <c:numCache>
                <c:formatCode>General</c:formatCode>
                <c:ptCount val="201"/>
                <c:pt idx="0">
                  <c:v>32.58</c:v>
                </c:pt>
                <c:pt idx="1">
                  <c:v>29.850000000000005</c:v>
                </c:pt>
                <c:pt idx="2">
                  <c:v>30.616666666666671</c:v>
                </c:pt>
                <c:pt idx="3">
                  <c:v>29.4</c:v>
                </c:pt>
                <c:pt idx="4">
                  <c:v>32</c:v>
                </c:pt>
                <c:pt idx="5">
                  <c:v>33.275000000000006</c:v>
                </c:pt>
                <c:pt idx="6">
                  <c:v>29.900000000000002</c:v>
                </c:pt>
                <c:pt idx="7">
                  <c:v>29.849999999999998</c:v>
                </c:pt>
                <c:pt idx="8">
                  <c:v>30.599999999999998</c:v>
                </c:pt>
                <c:pt idx="9">
                  <c:v>31.383333333333329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34</c:v>
                </c:pt>
                <c:pt idx="14">
                  <c:v>34</c:v>
                </c:pt>
                <c:pt idx="15">
                  <c:v>38</c:v>
                </c:pt>
                <c:pt idx="16">
                  <c:v>33</c:v>
                </c:pt>
                <c:pt idx="17">
                  <c:v>35</c:v>
                </c:pt>
                <c:pt idx="18">
                  <c:v>34</c:v>
                </c:pt>
                <c:pt idx="19">
                  <c:v>35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30</c:v>
                </c:pt>
                <c:pt idx="24">
                  <c:v>29</c:v>
                </c:pt>
                <c:pt idx="25">
                  <c:v>31</c:v>
                </c:pt>
                <c:pt idx="26">
                  <c:v>31</c:v>
                </c:pt>
                <c:pt idx="27">
                  <c:v>28</c:v>
                </c:pt>
                <c:pt idx="28">
                  <c:v>27</c:v>
                </c:pt>
                <c:pt idx="29">
                  <c:v>30</c:v>
                </c:pt>
                <c:pt idx="30">
                  <c:v>35.200000000000003</c:v>
                </c:pt>
                <c:pt idx="31">
                  <c:v>33.174999999999997</c:v>
                </c:pt>
                <c:pt idx="32">
                  <c:v>35.299999999999997</c:v>
                </c:pt>
                <c:pt idx="33">
                  <c:v>36.6</c:v>
                </c:pt>
                <c:pt idx="34">
                  <c:v>35.5</c:v>
                </c:pt>
                <c:pt idx="35">
                  <c:v>34.200000000000003</c:v>
                </c:pt>
                <c:pt idx="36">
                  <c:v>34.6</c:v>
                </c:pt>
                <c:pt idx="37">
                  <c:v>35</c:v>
                </c:pt>
                <c:pt idx="38">
                  <c:v>33.200000000000003</c:v>
                </c:pt>
                <c:pt idx="39">
                  <c:v>33.6</c:v>
                </c:pt>
                <c:pt idx="40">
                  <c:v>38.700000000000003</c:v>
                </c:pt>
                <c:pt idx="41">
                  <c:v>35.133333333333333</c:v>
                </c:pt>
                <c:pt idx="42">
                  <c:v>31.1</c:v>
                </c:pt>
                <c:pt idx="43">
                  <c:v>29.7</c:v>
                </c:pt>
                <c:pt idx="44">
                  <c:v>37.6</c:v>
                </c:pt>
                <c:pt idx="45">
                  <c:v>36.64</c:v>
                </c:pt>
                <c:pt idx="46">
                  <c:v>32</c:v>
                </c:pt>
                <c:pt idx="47">
                  <c:v>25</c:v>
                </c:pt>
                <c:pt idx="48">
                  <c:v>32.1</c:v>
                </c:pt>
                <c:pt idx="49">
                  <c:v>37</c:v>
                </c:pt>
                <c:pt idx="50">
                  <c:v>35</c:v>
                </c:pt>
                <c:pt idx="51">
                  <c:v>31.54</c:v>
                </c:pt>
                <c:pt idx="52">
                  <c:v>35.5</c:v>
                </c:pt>
                <c:pt idx="53">
                  <c:v>33.799999999999997</c:v>
                </c:pt>
                <c:pt idx="54">
                  <c:v>33.5</c:v>
                </c:pt>
                <c:pt idx="55">
                  <c:v>34.799999999999997</c:v>
                </c:pt>
                <c:pt idx="56">
                  <c:v>33.9</c:v>
                </c:pt>
                <c:pt idx="57">
                  <c:v>31.9</c:v>
                </c:pt>
                <c:pt idx="58">
                  <c:v>35.1</c:v>
                </c:pt>
                <c:pt idx="59">
                  <c:v>33.299999999999997</c:v>
                </c:pt>
                <c:pt idx="60">
                  <c:v>27.2</c:v>
                </c:pt>
                <c:pt idx="61">
                  <c:v>25.066666666666666</c:v>
                </c:pt>
                <c:pt idx="62">
                  <c:v>26.4</c:v>
                </c:pt>
                <c:pt idx="63">
                  <c:v>26.8</c:v>
                </c:pt>
                <c:pt idx="64">
                  <c:v>28.6</c:v>
                </c:pt>
                <c:pt idx="65">
                  <c:v>25.7</c:v>
                </c:pt>
                <c:pt idx="66">
                  <c:v>28.3</c:v>
                </c:pt>
                <c:pt idx="67">
                  <c:v>24.2</c:v>
                </c:pt>
                <c:pt idx="68">
                  <c:v>26.1</c:v>
                </c:pt>
                <c:pt idx="69">
                  <c:v>26</c:v>
                </c:pt>
                <c:pt idx="70">
                  <c:v>24.8</c:v>
                </c:pt>
                <c:pt idx="71">
                  <c:v>29.75</c:v>
                </c:pt>
                <c:pt idx="72">
                  <c:v>24.2</c:v>
                </c:pt>
                <c:pt idx="73">
                  <c:v>37.200000000000003</c:v>
                </c:pt>
                <c:pt idx="74">
                  <c:v>32.642857142857146</c:v>
                </c:pt>
                <c:pt idx="75">
                  <c:v>29.1</c:v>
                </c:pt>
                <c:pt idx="76">
                  <c:v>34.6</c:v>
                </c:pt>
                <c:pt idx="77">
                  <c:v>33.4</c:v>
                </c:pt>
                <c:pt idx="78">
                  <c:v>32.5</c:v>
                </c:pt>
                <c:pt idx="79">
                  <c:v>32.200000000000003</c:v>
                </c:pt>
                <c:pt idx="80">
                  <c:v>31.5</c:v>
                </c:pt>
                <c:pt idx="81">
                  <c:v>32.700000000000003</c:v>
                </c:pt>
                <c:pt idx="82">
                  <c:v>33.200000000000003</c:v>
                </c:pt>
                <c:pt idx="83">
                  <c:v>29.5</c:v>
                </c:pt>
                <c:pt idx="84">
                  <c:v>33.116666666666667</c:v>
                </c:pt>
                <c:pt idx="85">
                  <c:v>32.200000000000003</c:v>
                </c:pt>
                <c:pt idx="86">
                  <c:v>37.450000000000003</c:v>
                </c:pt>
                <c:pt idx="87">
                  <c:v>34.4</c:v>
                </c:pt>
                <c:pt idx="88">
                  <c:v>31.3</c:v>
                </c:pt>
                <c:pt idx="89">
                  <c:v>31.9</c:v>
                </c:pt>
                <c:pt idx="90">
                  <c:v>28.4</c:v>
                </c:pt>
                <c:pt idx="91">
                  <c:v>30.9</c:v>
                </c:pt>
                <c:pt idx="92">
                  <c:v>31.7</c:v>
                </c:pt>
                <c:pt idx="93">
                  <c:v>30.400000000000006</c:v>
                </c:pt>
                <c:pt idx="94">
                  <c:v>28.4</c:v>
                </c:pt>
                <c:pt idx="95">
                  <c:v>31</c:v>
                </c:pt>
                <c:pt idx="96">
                  <c:v>28.5</c:v>
                </c:pt>
                <c:pt idx="97">
                  <c:v>28</c:v>
                </c:pt>
                <c:pt idx="98">
                  <c:v>37</c:v>
                </c:pt>
                <c:pt idx="99">
                  <c:v>34.557142857142857</c:v>
                </c:pt>
                <c:pt idx="100">
                  <c:v>30.9</c:v>
                </c:pt>
                <c:pt idx="101">
                  <c:v>36.4</c:v>
                </c:pt>
                <c:pt idx="102">
                  <c:v>35.200000000000003</c:v>
                </c:pt>
                <c:pt idx="103">
                  <c:v>33.633333333333333</c:v>
                </c:pt>
                <c:pt idx="104">
                  <c:v>36</c:v>
                </c:pt>
                <c:pt idx="105">
                  <c:v>34</c:v>
                </c:pt>
                <c:pt idx="106">
                  <c:v>35.4</c:v>
                </c:pt>
                <c:pt idx="107">
                  <c:v>35.299999999999997</c:v>
                </c:pt>
                <c:pt idx="108">
                  <c:v>35.950000000000003</c:v>
                </c:pt>
                <c:pt idx="109">
                  <c:v>36.24</c:v>
                </c:pt>
                <c:pt idx="110">
                  <c:v>36.1</c:v>
                </c:pt>
                <c:pt idx="111">
                  <c:v>34.5</c:v>
                </c:pt>
                <c:pt idx="112">
                  <c:v>41.4</c:v>
                </c:pt>
                <c:pt idx="113">
                  <c:v>43.128571428571433</c:v>
                </c:pt>
                <c:pt idx="114">
                  <c:v>37.1</c:v>
                </c:pt>
                <c:pt idx="115">
                  <c:v>39.6</c:v>
                </c:pt>
                <c:pt idx="116">
                  <c:v>38.200000000000003</c:v>
                </c:pt>
                <c:pt idx="117">
                  <c:v>39.4</c:v>
                </c:pt>
                <c:pt idx="118">
                  <c:v>40.299999999999997</c:v>
                </c:pt>
                <c:pt idx="119">
                  <c:v>40.85</c:v>
                </c:pt>
                <c:pt idx="120">
                  <c:v>35</c:v>
                </c:pt>
                <c:pt idx="121">
                  <c:v>38.1</c:v>
                </c:pt>
                <c:pt idx="122">
                  <c:v>44.9</c:v>
                </c:pt>
                <c:pt idx="123">
                  <c:v>38.550000000000004</c:v>
                </c:pt>
                <c:pt idx="124">
                  <c:v>42.4</c:v>
                </c:pt>
                <c:pt idx="125">
                  <c:v>39.799999999999997</c:v>
                </c:pt>
                <c:pt idx="126">
                  <c:v>41.5</c:v>
                </c:pt>
                <c:pt idx="127">
                  <c:v>45</c:v>
                </c:pt>
                <c:pt idx="128">
                  <c:v>39.799999999999997</c:v>
                </c:pt>
                <c:pt idx="129">
                  <c:v>38</c:v>
                </c:pt>
                <c:pt idx="130">
                  <c:v>32.9</c:v>
                </c:pt>
                <c:pt idx="131">
                  <c:v>37.6</c:v>
                </c:pt>
                <c:pt idx="132">
                  <c:v>35.6</c:v>
                </c:pt>
                <c:pt idx="133">
                  <c:v>36.200000000000003</c:v>
                </c:pt>
                <c:pt idx="134">
                  <c:v>35</c:v>
                </c:pt>
                <c:pt idx="135">
                  <c:v>34.4</c:v>
                </c:pt>
                <c:pt idx="136">
                  <c:v>36.299999999999997</c:v>
                </c:pt>
                <c:pt idx="137">
                  <c:v>31</c:v>
                </c:pt>
                <c:pt idx="138">
                  <c:v>35.700000000000003</c:v>
                </c:pt>
                <c:pt idx="139">
                  <c:v>30.4</c:v>
                </c:pt>
                <c:pt idx="140">
                  <c:v>36.76</c:v>
                </c:pt>
                <c:pt idx="141">
                  <c:v>33.700000000000003</c:v>
                </c:pt>
                <c:pt idx="142">
                  <c:v>34.799999999999997</c:v>
                </c:pt>
                <c:pt idx="143">
                  <c:v>30.3</c:v>
                </c:pt>
                <c:pt idx="144">
                  <c:v>32.4</c:v>
                </c:pt>
                <c:pt idx="145">
                  <c:v>34.6</c:v>
                </c:pt>
                <c:pt idx="146">
                  <c:v>33.5</c:v>
                </c:pt>
                <c:pt idx="147">
                  <c:v>36.700000000000003</c:v>
                </c:pt>
                <c:pt idx="148">
                  <c:v>33.5</c:v>
                </c:pt>
                <c:pt idx="149">
                  <c:v>41.6</c:v>
                </c:pt>
                <c:pt idx="150">
                  <c:v>39.949999999999996</c:v>
                </c:pt>
                <c:pt idx="151">
                  <c:v>38.299999999999997</c:v>
                </c:pt>
                <c:pt idx="152">
                  <c:v>37.5</c:v>
                </c:pt>
                <c:pt idx="153">
                  <c:v>40.200000000000003</c:v>
                </c:pt>
                <c:pt idx="154">
                  <c:v>34.700000000000003</c:v>
                </c:pt>
                <c:pt idx="155">
                  <c:v>39.4</c:v>
                </c:pt>
                <c:pt idx="156">
                  <c:v>37.799999999999997</c:v>
                </c:pt>
                <c:pt idx="157">
                  <c:v>40.6</c:v>
                </c:pt>
                <c:pt idx="158">
                  <c:v>37.700000000000003</c:v>
                </c:pt>
                <c:pt idx="159">
                  <c:v>36</c:v>
                </c:pt>
                <c:pt idx="160">
                  <c:v>32.524999999999999</c:v>
                </c:pt>
                <c:pt idx="161">
                  <c:v>33.200000000000003</c:v>
                </c:pt>
                <c:pt idx="162">
                  <c:v>34.6</c:v>
                </c:pt>
                <c:pt idx="163">
                  <c:v>35.5</c:v>
                </c:pt>
                <c:pt idx="164">
                  <c:v>34.1</c:v>
                </c:pt>
                <c:pt idx="165">
                  <c:v>33.6</c:v>
                </c:pt>
                <c:pt idx="166">
                  <c:v>32.1</c:v>
                </c:pt>
                <c:pt idx="167">
                  <c:v>32</c:v>
                </c:pt>
                <c:pt idx="168">
                  <c:v>36.4</c:v>
                </c:pt>
                <c:pt idx="169">
                  <c:v>34</c:v>
                </c:pt>
                <c:pt idx="170">
                  <c:v>28</c:v>
                </c:pt>
                <c:pt idx="171">
                  <c:v>29</c:v>
                </c:pt>
                <c:pt idx="172">
                  <c:v>34</c:v>
                </c:pt>
                <c:pt idx="173">
                  <c:v>33</c:v>
                </c:pt>
                <c:pt idx="174">
                  <c:v>34</c:v>
                </c:pt>
                <c:pt idx="175">
                  <c:v>32</c:v>
                </c:pt>
                <c:pt idx="176">
                  <c:v>35</c:v>
                </c:pt>
                <c:pt idx="177">
                  <c:v>33</c:v>
                </c:pt>
                <c:pt idx="178">
                  <c:v>30</c:v>
                </c:pt>
                <c:pt idx="179">
                  <c:v>31</c:v>
                </c:pt>
                <c:pt idx="180">
                  <c:v>30</c:v>
                </c:pt>
                <c:pt idx="181">
                  <c:v>30.5</c:v>
                </c:pt>
                <c:pt idx="182">
                  <c:v>25.5</c:v>
                </c:pt>
                <c:pt idx="183">
                  <c:v>30.5</c:v>
                </c:pt>
                <c:pt idx="184">
                  <c:v>33</c:v>
                </c:pt>
                <c:pt idx="185">
                  <c:v>32.4</c:v>
                </c:pt>
                <c:pt idx="186">
                  <c:v>32</c:v>
                </c:pt>
                <c:pt idx="187">
                  <c:v>30.6</c:v>
                </c:pt>
                <c:pt idx="188">
                  <c:v>29.5</c:v>
                </c:pt>
                <c:pt idx="189">
                  <c:v>37.54</c:v>
                </c:pt>
                <c:pt idx="190">
                  <c:v>35.04</c:v>
                </c:pt>
                <c:pt idx="191">
                  <c:v>35.94</c:v>
                </c:pt>
                <c:pt idx="192">
                  <c:v>35.200000000000003</c:v>
                </c:pt>
                <c:pt idx="193">
                  <c:v>37.32</c:v>
                </c:pt>
                <c:pt idx="194">
                  <c:v>35.86</c:v>
                </c:pt>
                <c:pt idx="195">
                  <c:v>36.200000000000003</c:v>
                </c:pt>
                <c:pt idx="196">
                  <c:v>35.42</c:v>
                </c:pt>
                <c:pt idx="197">
                  <c:v>36.879999999999995</c:v>
                </c:pt>
                <c:pt idx="198">
                  <c:v>35.820000000000007</c:v>
                </c:pt>
                <c:pt idx="199">
                  <c:v>32.94</c:v>
                </c:pt>
                <c:pt idx="200">
                  <c:v>33.980000000000004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D8-4527-9BFF-04A78644DBEA}"/>
            </c:ext>
          </c:extLst>
        </c:ser>
        <c:ser>
          <c:idx val="6"/>
          <c:order val="5"/>
          <c:tx>
            <c:strRef>
              <c:f>Sheet2!$K$1</c:f>
              <c:strCache>
                <c:ptCount val="1"/>
                <c:pt idx="0">
                  <c:v>LV area cm2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Sheet2!$K$2:$K$202</c:f>
              <c:numCache>
                <c:formatCode>General</c:formatCode>
                <c:ptCount val="201"/>
                <c:pt idx="0">
                  <c:v>42.44</c:v>
                </c:pt>
                <c:pt idx="1">
                  <c:v>43.449999999999996</c:v>
                </c:pt>
                <c:pt idx="2">
                  <c:v>42.416666666666664</c:v>
                </c:pt>
                <c:pt idx="3">
                  <c:v>41.94</c:v>
                </c:pt>
                <c:pt idx="4">
                  <c:v>41.7</c:v>
                </c:pt>
                <c:pt idx="5">
                  <c:v>41.225000000000001</c:v>
                </c:pt>
                <c:pt idx="6">
                  <c:v>42.716666666666669</c:v>
                </c:pt>
                <c:pt idx="7">
                  <c:v>43.016666666666673</c:v>
                </c:pt>
                <c:pt idx="8">
                  <c:v>42.099999999999994</c:v>
                </c:pt>
                <c:pt idx="9">
                  <c:v>43.333333333333336</c:v>
                </c:pt>
                <c:pt idx="10">
                  <c:v>71.2</c:v>
                </c:pt>
                <c:pt idx="11">
                  <c:v>69.400000000000006</c:v>
                </c:pt>
                <c:pt idx="12">
                  <c:v>75.400000000000006</c:v>
                </c:pt>
                <c:pt idx="13">
                  <c:v>61.8</c:v>
                </c:pt>
                <c:pt idx="14">
                  <c:v>69.599999999999994</c:v>
                </c:pt>
                <c:pt idx="15">
                  <c:v>69.900000000000006</c:v>
                </c:pt>
                <c:pt idx="16">
                  <c:v>70.400000000000006</c:v>
                </c:pt>
                <c:pt idx="17">
                  <c:v>71.2</c:v>
                </c:pt>
                <c:pt idx="18">
                  <c:v>72</c:v>
                </c:pt>
                <c:pt idx="19">
                  <c:v>70</c:v>
                </c:pt>
                <c:pt idx="20">
                  <c:v>37.299999999999997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38.5</c:v>
                </c:pt>
                <c:pt idx="24">
                  <c:v>40.1</c:v>
                </c:pt>
                <c:pt idx="25">
                  <c:v>41.6</c:v>
                </c:pt>
                <c:pt idx="26">
                  <c:v>42.1</c:v>
                </c:pt>
                <c:pt idx="27">
                  <c:v>41.7</c:v>
                </c:pt>
                <c:pt idx="28">
                  <c:v>38</c:v>
                </c:pt>
                <c:pt idx="29">
                  <c:v>40.799999999999997</c:v>
                </c:pt>
                <c:pt idx="30">
                  <c:v>20.83</c:v>
                </c:pt>
                <c:pt idx="31">
                  <c:v>16.274999999999999</c:v>
                </c:pt>
                <c:pt idx="32">
                  <c:v>24.5</c:v>
                </c:pt>
                <c:pt idx="33">
                  <c:v>24.1</c:v>
                </c:pt>
                <c:pt idx="34">
                  <c:v>20.7</c:v>
                </c:pt>
                <c:pt idx="35">
                  <c:v>23.2</c:v>
                </c:pt>
                <c:pt idx="36">
                  <c:v>25.9</c:v>
                </c:pt>
                <c:pt idx="37">
                  <c:v>23.2</c:v>
                </c:pt>
                <c:pt idx="38">
                  <c:v>21.9</c:v>
                </c:pt>
                <c:pt idx="39">
                  <c:v>20.5</c:v>
                </c:pt>
                <c:pt idx="40">
                  <c:v>29.9</c:v>
                </c:pt>
                <c:pt idx="41">
                  <c:v>26.366666666666664</c:v>
                </c:pt>
                <c:pt idx="42">
                  <c:v>28.5</c:v>
                </c:pt>
                <c:pt idx="43">
                  <c:v>29.5</c:v>
                </c:pt>
                <c:pt idx="44">
                  <c:v>25.7</c:v>
                </c:pt>
                <c:pt idx="45">
                  <c:v>25.16</c:v>
                </c:pt>
                <c:pt idx="46">
                  <c:v>25.1</c:v>
                </c:pt>
                <c:pt idx="47">
                  <c:v>37.5</c:v>
                </c:pt>
                <c:pt idx="48">
                  <c:v>28.1</c:v>
                </c:pt>
                <c:pt idx="49">
                  <c:v>27.11</c:v>
                </c:pt>
                <c:pt idx="50">
                  <c:v>21.6</c:v>
                </c:pt>
                <c:pt idx="51">
                  <c:v>18.580000000000002</c:v>
                </c:pt>
                <c:pt idx="52">
                  <c:v>24.3</c:v>
                </c:pt>
                <c:pt idx="53">
                  <c:v>18.8</c:v>
                </c:pt>
                <c:pt idx="54">
                  <c:v>18.7</c:v>
                </c:pt>
                <c:pt idx="55">
                  <c:v>15</c:v>
                </c:pt>
                <c:pt idx="56">
                  <c:v>20.5</c:v>
                </c:pt>
                <c:pt idx="57">
                  <c:v>19</c:v>
                </c:pt>
                <c:pt idx="58">
                  <c:v>23.2</c:v>
                </c:pt>
                <c:pt idx="59">
                  <c:v>16.5</c:v>
                </c:pt>
                <c:pt idx="60">
                  <c:v>23.5</c:v>
                </c:pt>
                <c:pt idx="61">
                  <c:v>22.566666666666663</c:v>
                </c:pt>
                <c:pt idx="62">
                  <c:v>20</c:v>
                </c:pt>
                <c:pt idx="63">
                  <c:v>20.399999999999999</c:v>
                </c:pt>
                <c:pt idx="64">
                  <c:v>25.8</c:v>
                </c:pt>
                <c:pt idx="65">
                  <c:v>23.3</c:v>
                </c:pt>
                <c:pt idx="66">
                  <c:v>20.9</c:v>
                </c:pt>
                <c:pt idx="67">
                  <c:v>22.1</c:v>
                </c:pt>
                <c:pt idx="68">
                  <c:v>22.2</c:v>
                </c:pt>
                <c:pt idx="69">
                  <c:v>24.4</c:v>
                </c:pt>
                <c:pt idx="70">
                  <c:v>22</c:v>
                </c:pt>
                <c:pt idx="71">
                  <c:v>22.716666666666665</c:v>
                </c:pt>
                <c:pt idx="72">
                  <c:v>17.2</c:v>
                </c:pt>
                <c:pt idx="73">
                  <c:v>24.48</c:v>
                </c:pt>
                <c:pt idx="74">
                  <c:v>20.857142857142858</c:v>
                </c:pt>
                <c:pt idx="75">
                  <c:v>23.9</c:v>
                </c:pt>
                <c:pt idx="76">
                  <c:v>26.49</c:v>
                </c:pt>
                <c:pt idx="77">
                  <c:v>21.31</c:v>
                </c:pt>
                <c:pt idx="78">
                  <c:v>23.5</c:v>
                </c:pt>
                <c:pt idx="79">
                  <c:v>22.53</c:v>
                </c:pt>
                <c:pt idx="80">
                  <c:v>23.3</c:v>
                </c:pt>
                <c:pt idx="81">
                  <c:v>22.9</c:v>
                </c:pt>
                <c:pt idx="82">
                  <c:v>23</c:v>
                </c:pt>
                <c:pt idx="83">
                  <c:v>26.17</c:v>
                </c:pt>
                <c:pt idx="84">
                  <c:v>27.033333333333331</c:v>
                </c:pt>
                <c:pt idx="85">
                  <c:v>33.130000000000003</c:v>
                </c:pt>
                <c:pt idx="86">
                  <c:v>23.95</c:v>
                </c:pt>
                <c:pt idx="87">
                  <c:v>29</c:v>
                </c:pt>
                <c:pt idx="88">
                  <c:v>22.2</c:v>
                </c:pt>
                <c:pt idx="89">
                  <c:v>19.5</c:v>
                </c:pt>
                <c:pt idx="90">
                  <c:v>22.7</c:v>
                </c:pt>
                <c:pt idx="91">
                  <c:v>25.1</c:v>
                </c:pt>
                <c:pt idx="92">
                  <c:v>22.5</c:v>
                </c:pt>
                <c:pt idx="93">
                  <c:v>17.466666666666665</c:v>
                </c:pt>
                <c:pt idx="94">
                  <c:v>20.8</c:v>
                </c:pt>
                <c:pt idx="95">
                  <c:v>23.6</c:v>
                </c:pt>
                <c:pt idx="96">
                  <c:v>24.6</c:v>
                </c:pt>
                <c:pt idx="97">
                  <c:v>23.3</c:v>
                </c:pt>
                <c:pt idx="98">
                  <c:v>36.78</c:v>
                </c:pt>
                <c:pt idx="99">
                  <c:v>32.828571428571436</c:v>
                </c:pt>
                <c:pt idx="100">
                  <c:v>31.4</c:v>
                </c:pt>
                <c:pt idx="101">
                  <c:v>33.700000000000003</c:v>
                </c:pt>
                <c:pt idx="102">
                  <c:v>24.9</c:v>
                </c:pt>
                <c:pt idx="103">
                  <c:v>21.366666666666664</c:v>
                </c:pt>
                <c:pt idx="104">
                  <c:v>22.18</c:v>
                </c:pt>
                <c:pt idx="105">
                  <c:v>22.46</c:v>
                </c:pt>
                <c:pt idx="106">
                  <c:v>25.14</c:v>
                </c:pt>
                <c:pt idx="107">
                  <c:v>22.3</c:v>
                </c:pt>
                <c:pt idx="108">
                  <c:v>21.8</c:v>
                </c:pt>
                <c:pt idx="109">
                  <c:v>21.9</c:v>
                </c:pt>
                <c:pt idx="110">
                  <c:v>22.6</c:v>
                </c:pt>
                <c:pt idx="111">
                  <c:v>22.5</c:v>
                </c:pt>
                <c:pt idx="112">
                  <c:v>25.9</c:v>
                </c:pt>
                <c:pt idx="113">
                  <c:v>24.714285714285715</c:v>
                </c:pt>
                <c:pt idx="114">
                  <c:v>25</c:v>
                </c:pt>
                <c:pt idx="115">
                  <c:v>25.5</c:v>
                </c:pt>
                <c:pt idx="116">
                  <c:v>21.3</c:v>
                </c:pt>
                <c:pt idx="117">
                  <c:v>23.4</c:v>
                </c:pt>
                <c:pt idx="118">
                  <c:v>23.3</c:v>
                </c:pt>
                <c:pt idx="119">
                  <c:v>20.2</c:v>
                </c:pt>
                <c:pt idx="120">
                  <c:v>21.4</c:v>
                </c:pt>
                <c:pt idx="121">
                  <c:v>25.3</c:v>
                </c:pt>
                <c:pt idx="122">
                  <c:v>35.9</c:v>
                </c:pt>
                <c:pt idx="123">
                  <c:v>27.55</c:v>
                </c:pt>
                <c:pt idx="124">
                  <c:v>46.7</c:v>
                </c:pt>
                <c:pt idx="125">
                  <c:v>33.299999999999997</c:v>
                </c:pt>
                <c:pt idx="126">
                  <c:v>36.299999999999997</c:v>
                </c:pt>
                <c:pt idx="127">
                  <c:v>35.6</c:v>
                </c:pt>
                <c:pt idx="128">
                  <c:v>33.200000000000003</c:v>
                </c:pt>
                <c:pt idx="129">
                  <c:v>27.3</c:v>
                </c:pt>
                <c:pt idx="130">
                  <c:v>24.316666666666666</c:v>
                </c:pt>
                <c:pt idx="131">
                  <c:v>25.7</c:v>
                </c:pt>
                <c:pt idx="132">
                  <c:v>30.1</c:v>
                </c:pt>
                <c:pt idx="133">
                  <c:v>28.6</c:v>
                </c:pt>
                <c:pt idx="134">
                  <c:v>23</c:v>
                </c:pt>
                <c:pt idx="135">
                  <c:v>23.1</c:v>
                </c:pt>
                <c:pt idx="136">
                  <c:v>22.3</c:v>
                </c:pt>
                <c:pt idx="137">
                  <c:v>21.9</c:v>
                </c:pt>
                <c:pt idx="138">
                  <c:v>20.8</c:v>
                </c:pt>
                <c:pt idx="139">
                  <c:v>18.7</c:v>
                </c:pt>
                <c:pt idx="140">
                  <c:v>18.32</c:v>
                </c:pt>
                <c:pt idx="141">
                  <c:v>19.5</c:v>
                </c:pt>
                <c:pt idx="142">
                  <c:v>17</c:v>
                </c:pt>
                <c:pt idx="143">
                  <c:v>19.3</c:v>
                </c:pt>
                <c:pt idx="144">
                  <c:v>17.600000000000001</c:v>
                </c:pt>
                <c:pt idx="145">
                  <c:v>16.5</c:v>
                </c:pt>
                <c:pt idx="146">
                  <c:v>19.7</c:v>
                </c:pt>
                <c:pt idx="147">
                  <c:v>23.9</c:v>
                </c:pt>
                <c:pt idx="148">
                  <c:v>16.5</c:v>
                </c:pt>
                <c:pt idx="149">
                  <c:v>29.18</c:v>
                </c:pt>
                <c:pt idx="150">
                  <c:v>30.941666666666666</c:v>
                </c:pt>
                <c:pt idx="151">
                  <c:v>35.4</c:v>
                </c:pt>
                <c:pt idx="152">
                  <c:v>26.3</c:v>
                </c:pt>
                <c:pt idx="153">
                  <c:v>26.7</c:v>
                </c:pt>
                <c:pt idx="154">
                  <c:v>22.4</c:v>
                </c:pt>
                <c:pt idx="155">
                  <c:v>24.8</c:v>
                </c:pt>
                <c:pt idx="156">
                  <c:v>28.4</c:v>
                </c:pt>
                <c:pt idx="157">
                  <c:v>25.4</c:v>
                </c:pt>
                <c:pt idx="158">
                  <c:v>23.5</c:v>
                </c:pt>
                <c:pt idx="159">
                  <c:v>20.07</c:v>
                </c:pt>
                <c:pt idx="160">
                  <c:v>19.925000000000001</c:v>
                </c:pt>
                <c:pt idx="161">
                  <c:v>20.58</c:v>
                </c:pt>
                <c:pt idx="162">
                  <c:v>21.7</c:v>
                </c:pt>
                <c:pt idx="163">
                  <c:v>20.3</c:v>
                </c:pt>
                <c:pt idx="164">
                  <c:v>19.3</c:v>
                </c:pt>
                <c:pt idx="165">
                  <c:v>19</c:v>
                </c:pt>
                <c:pt idx="166">
                  <c:v>21.2</c:v>
                </c:pt>
                <c:pt idx="167">
                  <c:v>20.399999999999999</c:v>
                </c:pt>
                <c:pt idx="168">
                  <c:v>20.9</c:v>
                </c:pt>
                <c:pt idx="169">
                  <c:v>31</c:v>
                </c:pt>
                <c:pt idx="170">
                  <c:v>25</c:v>
                </c:pt>
                <c:pt idx="171">
                  <c:v>26.8</c:v>
                </c:pt>
                <c:pt idx="172">
                  <c:v>29</c:v>
                </c:pt>
                <c:pt idx="173">
                  <c:v>28</c:v>
                </c:pt>
                <c:pt idx="174">
                  <c:v>26</c:v>
                </c:pt>
                <c:pt idx="175">
                  <c:v>28</c:v>
                </c:pt>
                <c:pt idx="176">
                  <c:v>25.7</c:v>
                </c:pt>
                <c:pt idx="177">
                  <c:v>29</c:v>
                </c:pt>
                <c:pt idx="178">
                  <c:v>29.1</c:v>
                </c:pt>
                <c:pt idx="179">
                  <c:v>36.1</c:v>
                </c:pt>
                <c:pt idx="180">
                  <c:v>38</c:v>
                </c:pt>
                <c:pt idx="181">
                  <c:v>28</c:v>
                </c:pt>
                <c:pt idx="182">
                  <c:v>29.5</c:v>
                </c:pt>
                <c:pt idx="183">
                  <c:v>33.200000000000003</c:v>
                </c:pt>
                <c:pt idx="184">
                  <c:v>30.5</c:v>
                </c:pt>
                <c:pt idx="185">
                  <c:v>34.5</c:v>
                </c:pt>
                <c:pt idx="186">
                  <c:v>33.4</c:v>
                </c:pt>
                <c:pt idx="187">
                  <c:v>25.5</c:v>
                </c:pt>
                <c:pt idx="188">
                  <c:v>36</c:v>
                </c:pt>
                <c:pt idx="189">
                  <c:v>62.720000000000006</c:v>
                </c:pt>
                <c:pt idx="190">
                  <c:v>60.879999999999995</c:v>
                </c:pt>
                <c:pt idx="191">
                  <c:v>62.56</c:v>
                </c:pt>
                <c:pt idx="192">
                  <c:v>63.08</c:v>
                </c:pt>
                <c:pt idx="193">
                  <c:v>63.339999999999996</c:v>
                </c:pt>
                <c:pt idx="194">
                  <c:v>58.9</c:v>
                </c:pt>
                <c:pt idx="195">
                  <c:v>52.86</c:v>
                </c:pt>
                <c:pt idx="196">
                  <c:v>53.64</c:v>
                </c:pt>
                <c:pt idx="197">
                  <c:v>54.279999999999994</c:v>
                </c:pt>
                <c:pt idx="198">
                  <c:v>54.2</c:v>
                </c:pt>
                <c:pt idx="199">
                  <c:v>47.92</c:v>
                </c:pt>
                <c:pt idx="200">
                  <c:v>49.14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D8-4527-9BFF-04A78644D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187584"/>
        <c:axId val="703183624"/>
      </c:lineChart>
      <c:catAx>
        <c:axId val="7031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83624"/>
        <c:crosses val="autoZero"/>
        <c:auto val="1"/>
        <c:lblAlgn val="ctr"/>
        <c:lblOffset val="100"/>
        <c:noMultiLvlLbl val="0"/>
      </c:catAx>
      <c:valAx>
        <c:axId val="70318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Sheet2!$E$2:$E$11</c:f>
              <c:numCache>
                <c:formatCode>General</c:formatCode>
                <c:ptCount val="10"/>
                <c:pt idx="0">
                  <c:v>1.94</c:v>
                </c:pt>
                <c:pt idx="1">
                  <c:v>2.4833333333333334</c:v>
                </c:pt>
                <c:pt idx="2">
                  <c:v>1.8</c:v>
                </c:pt>
                <c:pt idx="3">
                  <c:v>1.4</c:v>
                </c:pt>
                <c:pt idx="4">
                  <c:v>1.7250000000000001</c:v>
                </c:pt>
                <c:pt idx="5">
                  <c:v>1.425</c:v>
                </c:pt>
                <c:pt idx="6">
                  <c:v>2.35</c:v>
                </c:pt>
                <c:pt idx="7">
                  <c:v>1.8166666666666667</c:v>
                </c:pt>
                <c:pt idx="8">
                  <c:v>1.5</c:v>
                </c:pt>
                <c:pt idx="9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C-441F-BA4B-C5F4BACA6FC6}"/>
            </c:ext>
          </c:extLst>
        </c:ser>
        <c:ser>
          <c:idx val="1"/>
          <c:order val="1"/>
          <c:tx>
            <c:strRef>
              <c:f>Sheet2!$A$12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Sheet2!$E$12:$E$21</c:f>
              <c:numCache>
                <c:formatCode>General</c:formatCode>
                <c:ptCount val="10"/>
                <c:pt idx="0">
                  <c:v>9.4</c:v>
                </c:pt>
                <c:pt idx="1">
                  <c:v>12</c:v>
                </c:pt>
                <c:pt idx="2">
                  <c:v>13.7</c:v>
                </c:pt>
                <c:pt idx="3">
                  <c:v>13.5</c:v>
                </c:pt>
                <c:pt idx="4">
                  <c:v>11.3</c:v>
                </c:pt>
                <c:pt idx="5">
                  <c:v>15.4</c:v>
                </c:pt>
                <c:pt idx="6">
                  <c:v>7.1</c:v>
                </c:pt>
                <c:pt idx="7">
                  <c:v>9.9</c:v>
                </c:pt>
                <c:pt idx="8">
                  <c:v>12.9</c:v>
                </c:pt>
                <c:pt idx="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C-441F-BA4B-C5F4BACA6FC6}"/>
            </c:ext>
          </c:extLst>
        </c:ser>
        <c:ser>
          <c:idx val="2"/>
          <c:order val="2"/>
          <c:tx>
            <c:strRef>
              <c:f>Sheet2!$A$22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Sheet2!$E$22:$E$31</c:f>
              <c:numCache>
                <c:formatCode>General</c:formatCode>
                <c:ptCount val="10"/>
                <c:pt idx="0">
                  <c:v>1.7</c:v>
                </c:pt>
                <c:pt idx="1">
                  <c:v>3.1</c:v>
                </c:pt>
                <c:pt idx="2">
                  <c:v>2.4</c:v>
                </c:pt>
                <c:pt idx="3">
                  <c:v>2.5</c:v>
                </c:pt>
                <c:pt idx="4">
                  <c:v>3.6</c:v>
                </c:pt>
                <c:pt idx="5">
                  <c:v>3.5</c:v>
                </c:pt>
                <c:pt idx="6">
                  <c:v>2.9</c:v>
                </c:pt>
                <c:pt idx="7">
                  <c:v>3.3</c:v>
                </c:pt>
                <c:pt idx="8">
                  <c:v>2</c:v>
                </c:pt>
                <c:pt idx="9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3C-441F-BA4B-C5F4BACA6FC6}"/>
            </c:ext>
          </c:extLst>
        </c:ser>
        <c:ser>
          <c:idx val="3"/>
          <c:order val="3"/>
          <c:tx>
            <c:strRef>
              <c:f>Sheet2!$A$32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Sheet2!$E$32:$E$41</c:f>
              <c:numCache>
                <c:formatCode>General</c:formatCode>
                <c:ptCount val="10"/>
                <c:pt idx="0">
                  <c:v>2.46</c:v>
                </c:pt>
                <c:pt idx="1">
                  <c:v>1.75</c:v>
                </c:pt>
                <c:pt idx="2">
                  <c:v>3.25</c:v>
                </c:pt>
                <c:pt idx="3">
                  <c:v>3.29</c:v>
                </c:pt>
                <c:pt idx="4">
                  <c:v>2.6</c:v>
                </c:pt>
                <c:pt idx="5">
                  <c:v>3.32</c:v>
                </c:pt>
                <c:pt idx="6">
                  <c:v>3.58</c:v>
                </c:pt>
                <c:pt idx="7">
                  <c:v>3.74</c:v>
                </c:pt>
                <c:pt idx="8">
                  <c:v>3.56</c:v>
                </c:pt>
                <c:pt idx="9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3C-441F-BA4B-C5F4BACA6FC6}"/>
            </c:ext>
          </c:extLst>
        </c:ser>
        <c:ser>
          <c:idx val="4"/>
          <c:order val="4"/>
          <c:tx>
            <c:strRef>
              <c:f>Sheet2!$A$42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Sheet2!$E$42:$E$45</c:f>
              <c:numCache>
                <c:formatCode>General</c:formatCode>
                <c:ptCount val="4"/>
                <c:pt idx="0">
                  <c:v>1.3</c:v>
                </c:pt>
                <c:pt idx="1">
                  <c:v>1.6333333333333335</c:v>
                </c:pt>
                <c:pt idx="2">
                  <c:v>1.5</c:v>
                </c:pt>
                <c:pt idx="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3C-441F-BA4B-C5F4BACA6FC6}"/>
            </c:ext>
          </c:extLst>
        </c:ser>
        <c:ser>
          <c:idx val="5"/>
          <c:order val="5"/>
          <c:tx>
            <c:strRef>
              <c:f>Sheet2!$A$46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Sheet2!$E$46:$E$51</c:f>
              <c:numCache>
                <c:formatCode>General</c:formatCode>
                <c:ptCount val="6"/>
                <c:pt idx="0">
                  <c:v>6.9</c:v>
                </c:pt>
                <c:pt idx="1">
                  <c:v>4.3199999999999994</c:v>
                </c:pt>
                <c:pt idx="2">
                  <c:v>1.6</c:v>
                </c:pt>
                <c:pt idx="3">
                  <c:v>1.7</c:v>
                </c:pt>
                <c:pt idx="4">
                  <c:v>3.6</c:v>
                </c:pt>
                <c:pt idx="5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3C-441F-BA4B-C5F4BACA6FC6}"/>
            </c:ext>
          </c:extLst>
        </c:ser>
        <c:ser>
          <c:idx val="6"/>
          <c:order val="6"/>
          <c:tx>
            <c:strRef>
              <c:f>Sheet2!$A$52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Sheet2!$E$52:$E$61</c:f>
              <c:numCache>
                <c:formatCode>General</c:formatCode>
                <c:ptCount val="10"/>
                <c:pt idx="0">
                  <c:v>6.16</c:v>
                </c:pt>
                <c:pt idx="1">
                  <c:v>1.8199999999999998</c:v>
                </c:pt>
                <c:pt idx="2">
                  <c:v>4</c:v>
                </c:pt>
                <c:pt idx="3">
                  <c:v>3.4</c:v>
                </c:pt>
                <c:pt idx="4">
                  <c:v>5.7</c:v>
                </c:pt>
                <c:pt idx="5">
                  <c:v>5.5</c:v>
                </c:pt>
                <c:pt idx="6">
                  <c:v>5.4</c:v>
                </c:pt>
                <c:pt idx="7">
                  <c:v>2.5</c:v>
                </c:pt>
                <c:pt idx="8">
                  <c:v>2.7</c:v>
                </c:pt>
                <c:pt idx="9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3C-441F-BA4B-C5F4BACA6FC6}"/>
            </c:ext>
          </c:extLst>
        </c:ser>
        <c:ser>
          <c:idx val="7"/>
          <c:order val="7"/>
          <c:tx>
            <c:strRef>
              <c:f>Sheet2!$A$62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Sheet2!$E$62:$E$71</c:f>
              <c:numCache>
                <c:formatCode>General</c:formatCode>
                <c:ptCount val="10"/>
                <c:pt idx="0">
                  <c:v>1.9</c:v>
                </c:pt>
                <c:pt idx="1">
                  <c:v>1.9000000000000001</c:v>
                </c:pt>
                <c:pt idx="2">
                  <c:v>0.2</c:v>
                </c:pt>
                <c:pt idx="3">
                  <c:v>4.5999999999999996</c:v>
                </c:pt>
                <c:pt idx="4">
                  <c:v>3.2</c:v>
                </c:pt>
                <c:pt idx="5">
                  <c:v>4.5999999999999996</c:v>
                </c:pt>
                <c:pt idx="6">
                  <c:v>0.4</c:v>
                </c:pt>
                <c:pt idx="7">
                  <c:v>4.3</c:v>
                </c:pt>
                <c:pt idx="8">
                  <c:v>1.9</c:v>
                </c:pt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3C-441F-BA4B-C5F4BACA6FC6}"/>
            </c:ext>
          </c:extLst>
        </c:ser>
        <c:ser>
          <c:idx val="8"/>
          <c:order val="8"/>
          <c:tx>
            <c:strRef>
              <c:f>Sheet2!$A$72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Sheet2!$E$72:$E$74</c:f>
              <c:numCache>
                <c:formatCode>General</c:formatCode>
                <c:ptCount val="3"/>
                <c:pt idx="0">
                  <c:v>2.87</c:v>
                </c:pt>
                <c:pt idx="1">
                  <c:v>1.8500000000000003</c:v>
                </c:pt>
                <c:pt idx="2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3C-441F-BA4B-C5F4BACA6FC6}"/>
            </c:ext>
          </c:extLst>
        </c:ser>
        <c:ser>
          <c:idx val="9"/>
          <c:order val="9"/>
          <c:tx>
            <c:strRef>
              <c:f>Sheet2!$A$75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Sheet2!$E$75:$E$84</c:f>
              <c:numCache>
                <c:formatCode>General</c:formatCode>
                <c:ptCount val="10"/>
                <c:pt idx="0">
                  <c:v>2.42</c:v>
                </c:pt>
                <c:pt idx="1">
                  <c:v>1.5471428571428572</c:v>
                </c:pt>
                <c:pt idx="2">
                  <c:v>2.21</c:v>
                </c:pt>
                <c:pt idx="3">
                  <c:v>2.29</c:v>
                </c:pt>
                <c:pt idx="4">
                  <c:v>2.57</c:v>
                </c:pt>
                <c:pt idx="5">
                  <c:v>2.39</c:v>
                </c:pt>
                <c:pt idx="6">
                  <c:v>2.63</c:v>
                </c:pt>
                <c:pt idx="7">
                  <c:v>3</c:v>
                </c:pt>
                <c:pt idx="8">
                  <c:v>2.23</c:v>
                </c:pt>
                <c:pt idx="9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3C-441F-BA4B-C5F4BACA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131360"/>
        <c:axId val="755132080"/>
      </c:lineChart>
      <c:catAx>
        <c:axId val="755131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32080"/>
        <c:crosses val="autoZero"/>
        <c:auto val="1"/>
        <c:lblAlgn val="ctr"/>
        <c:lblOffset val="100"/>
        <c:noMultiLvlLbl val="0"/>
      </c:catAx>
      <c:valAx>
        <c:axId val="7551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3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273050</xdr:colOff>
      <xdr:row>189</xdr:row>
      <xdr:rowOff>146050</xdr:rowOff>
    </xdr:from>
    <xdr:to>
      <xdr:col>12</xdr:col>
      <xdr:colOff>222250</xdr:colOff>
      <xdr:row>203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A74F2-0702-9E9A-9CED-A67A9EAD1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254000</xdr:colOff>
      <xdr:row>6</xdr:row>
      <xdr:rowOff>171450</xdr:rowOff>
    </xdr:from>
    <xdr:to>
      <xdr:col>24</xdr:col>
      <xdr:colOff>266700</xdr:colOff>
      <xdr:row>24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C2DF3B-01C9-6214-7945-56BC67D23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9CED-DA10-4848-8F23-83A197E5A0D8}">
  <dimension ref="A1:R377"/>
  <sheetViews>
    <sheetView tabSelected="1" zoomScale="125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A2" sqref="A2:A12"/>
    </sheetView>
  </sheetViews>
  <sheetFormatPr defaultColWidth="10.6640625" defaultRowHeight="16" x14ac:dyDescent="0.4"/>
  <cols>
    <col min="1" max="1" width="7.6640625" style="1" customWidth="1"/>
    <col min="2" max="2" width="5.5" style="1" customWidth="1"/>
    <col min="3" max="3" width="6.33203125" style="1" customWidth="1"/>
    <col min="4" max="4" width="9.1640625" style="1" customWidth="1"/>
    <col min="5" max="5" width="8.33203125" style="2" customWidth="1"/>
    <col min="6" max="6" width="7.83203125" style="2" customWidth="1"/>
    <col min="7" max="7" width="10.83203125" style="1"/>
    <col min="8" max="8" width="9.1640625" style="24" customWidth="1"/>
    <col min="9" max="9" width="9.83203125" style="1" customWidth="1"/>
    <col min="10" max="10" width="10" style="1" customWidth="1"/>
    <col min="11" max="11" width="9.5" style="1" customWidth="1"/>
    <col min="12" max="12" width="10.83203125" style="24"/>
    <col min="13" max="14" width="10.83203125" style="1"/>
  </cols>
  <sheetData>
    <row r="1" spans="1:14" s="4" customFormat="1" ht="33" customHeight="1" x14ac:dyDescent="0.4">
      <c r="A1" s="7" t="s">
        <v>3</v>
      </c>
      <c r="B1" s="8" t="s">
        <v>1</v>
      </c>
      <c r="C1" s="8" t="s">
        <v>0</v>
      </c>
      <c r="D1" s="8" t="s">
        <v>2</v>
      </c>
      <c r="E1" s="42" t="s">
        <v>4</v>
      </c>
      <c r="F1" s="42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3"/>
    </row>
    <row r="2" spans="1:14" x14ac:dyDescent="0.4">
      <c r="A2" s="13">
        <v>1</v>
      </c>
      <c r="B2" s="16">
        <v>1</v>
      </c>
      <c r="C2" s="16">
        <v>1</v>
      </c>
      <c r="D2" s="10">
        <v>1</v>
      </c>
      <c r="E2" s="11">
        <v>0.6</v>
      </c>
      <c r="F2" s="11">
        <v>2.8</v>
      </c>
      <c r="G2" s="12">
        <v>15.7</v>
      </c>
      <c r="H2" s="22"/>
      <c r="I2" s="12">
        <v>3.8</v>
      </c>
      <c r="J2" s="12">
        <v>31.2</v>
      </c>
      <c r="K2" s="12">
        <v>46.5</v>
      </c>
      <c r="L2" s="22"/>
      <c r="M2" s="6">
        <v>898</v>
      </c>
    </row>
    <row r="3" spans="1:14" x14ac:dyDescent="0.4">
      <c r="A3" s="13">
        <v>1</v>
      </c>
      <c r="B3" s="16">
        <v>1</v>
      </c>
      <c r="C3" s="16">
        <v>2</v>
      </c>
      <c r="D3" s="10">
        <v>2</v>
      </c>
      <c r="E3" s="11">
        <v>2.2999999999999998</v>
      </c>
      <c r="F3" s="11">
        <v>3.9</v>
      </c>
      <c r="G3" s="12">
        <v>18</v>
      </c>
      <c r="H3" s="22"/>
      <c r="I3" s="12">
        <v>5.0999999999999996</v>
      </c>
      <c r="J3" s="12">
        <v>30.4</v>
      </c>
      <c r="K3" s="12">
        <v>43.5</v>
      </c>
      <c r="L3" s="22"/>
      <c r="M3" s="6">
        <v>898</v>
      </c>
    </row>
    <row r="4" spans="1:14" x14ac:dyDescent="0.4">
      <c r="A4" s="13">
        <v>1</v>
      </c>
      <c r="B4" s="16">
        <v>1</v>
      </c>
      <c r="C4" s="16">
        <v>3</v>
      </c>
      <c r="D4" s="10">
        <v>3</v>
      </c>
      <c r="E4" s="11">
        <v>1.7</v>
      </c>
      <c r="F4" s="11">
        <v>2.7</v>
      </c>
      <c r="G4" s="12">
        <v>20.5</v>
      </c>
      <c r="H4" s="22"/>
      <c r="I4" s="12">
        <v>4.3</v>
      </c>
      <c r="J4" s="12">
        <v>35.1</v>
      </c>
      <c r="K4" s="12">
        <v>41.6</v>
      </c>
      <c r="L4" s="22"/>
      <c r="M4" s="6">
        <v>898</v>
      </c>
    </row>
    <row r="5" spans="1:14" x14ac:dyDescent="0.4">
      <c r="A5" s="13">
        <v>1</v>
      </c>
      <c r="B5" s="16">
        <v>1</v>
      </c>
      <c r="C5" s="16">
        <v>4</v>
      </c>
      <c r="D5" s="10">
        <v>4</v>
      </c>
      <c r="E5" s="11">
        <v>2.5</v>
      </c>
      <c r="F5" s="11">
        <v>3.8</v>
      </c>
      <c r="G5" s="12">
        <v>21.8</v>
      </c>
      <c r="H5" s="22"/>
      <c r="I5" s="12">
        <v>3</v>
      </c>
      <c r="J5" s="12">
        <v>32.200000000000003</v>
      </c>
      <c r="K5" s="12">
        <v>39.4</v>
      </c>
      <c r="L5" s="22"/>
      <c r="M5" s="6">
        <v>898</v>
      </c>
    </row>
    <row r="6" spans="1:14" x14ac:dyDescent="0.4">
      <c r="A6" s="13">
        <v>1</v>
      </c>
      <c r="B6" s="16">
        <v>1</v>
      </c>
      <c r="C6" s="16">
        <v>5</v>
      </c>
      <c r="D6" s="10">
        <v>5</v>
      </c>
      <c r="E6" s="11">
        <v>2.6</v>
      </c>
      <c r="F6" s="11">
        <v>2.8</v>
      </c>
      <c r="G6" s="12">
        <v>23</v>
      </c>
      <c r="H6" s="22"/>
      <c r="I6" s="12">
        <v>3.5</v>
      </c>
      <c r="J6" s="12">
        <v>34</v>
      </c>
      <c r="K6" s="12">
        <v>41.2</v>
      </c>
      <c r="L6" s="22"/>
      <c r="M6" s="6">
        <v>898</v>
      </c>
    </row>
    <row r="7" spans="1:14" x14ac:dyDescent="0.4">
      <c r="A7" s="13">
        <v>1</v>
      </c>
      <c r="B7" s="9">
        <v>2</v>
      </c>
      <c r="C7" s="9">
        <v>1</v>
      </c>
      <c r="D7" s="10">
        <v>6</v>
      </c>
      <c r="E7" s="15">
        <v>7.5</v>
      </c>
      <c r="F7" s="15">
        <v>2.6</v>
      </c>
      <c r="G7" s="12">
        <v>17.3</v>
      </c>
      <c r="H7" s="22"/>
      <c r="I7" s="6">
        <v>16.600000000000001</v>
      </c>
      <c r="J7" s="12">
        <v>31.1</v>
      </c>
      <c r="K7" s="12">
        <v>46.7</v>
      </c>
      <c r="L7" s="22"/>
      <c r="M7" s="6">
        <v>878</v>
      </c>
    </row>
    <row r="8" spans="1:14" x14ac:dyDescent="0.4">
      <c r="A8" s="13">
        <v>1</v>
      </c>
      <c r="B8" s="9">
        <v>2</v>
      </c>
      <c r="C8" s="9">
        <v>2</v>
      </c>
      <c r="D8" s="10">
        <v>7</v>
      </c>
      <c r="E8" s="15">
        <v>2.6</v>
      </c>
      <c r="F8" s="15">
        <v>2.2000000000000002</v>
      </c>
      <c r="G8" s="12">
        <v>16.5</v>
      </c>
      <c r="H8" s="22"/>
      <c r="I8" s="12">
        <v>5.2</v>
      </c>
      <c r="J8" s="12">
        <v>33</v>
      </c>
      <c r="K8" s="12">
        <v>46.3</v>
      </c>
      <c r="L8" s="22"/>
      <c r="M8" s="6">
        <v>878</v>
      </c>
    </row>
    <row r="9" spans="1:14" x14ac:dyDescent="0.4">
      <c r="A9" s="13">
        <v>1</v>
      </c>
      <c r="B9" s="9">
        <v>2</v>
      </c>
      <c r="C9" s="9">
        <v>3</v>
      </c>
      <c r="D9" s="10">
        <v>8</v>
      </c>
      <c r="E9" s="15">
        <v>0.5</v>
      </c>
      <c r="F9" s="15">
        <v>3</v>
      </c>
      <c r="G9" s="12">
        <v>17.2</v>
      </c>
      <c r="H9" s="22"/>
      <c r="I9" s="12">
        <v>5.5</v>
      </c>
      <c r="J9" s="12">
        <v>29.9</v>
      </c>
      <c r="K9" s="12">
        <v>44.9</v>
      </c>
      <c r="L9" s="22"/>
      <c r="M9" s="6">
        <v>878</v>
      </c>
    </row>
    <row r="10" spans="1:14" x14ac:dyDescent="0.4">
      <c r="A10" s="13">
        <v>1</v>
      </c>
      <c r="B10" s="9">
        <v>2</v>
      </c>
      <c r="C10" s="9">
        <v>4</v>
      </c>
      <c r="D10" s="10">
        <v>9</v>
      </c>
      <c r="E10" s="15">
        <v>1.4</v>
      </c>
      <c r="F10" s="15">
        <v>2.8</v>
      </c>
      <c r="G10" s="12">
        <v>18.600000000000001</v>
      </c>
      <c r="H10" s="22"/>
      <c r="I10" s="12">
        <v>4.8</v>
      </c>
      <c r="J10" s="12">
        <v>28.2</v>
      </c>
      <c r="K10" s="12">
        <v>41</v>
      </c>
      <c r="L10" s="22"/>
      <c r="M10" s="6">
        <v>878</v>
      </c>
    </row>
    <row r="11" spans="1:14" x14ac:dyDescent="0.4">
      <c r="A11" s="13">
        <v>1</v>
      </c>
      <c r="B11" s="9">
        <v>2</v>
      </c>
      <c r="C11" s="9">
        <v>5</v>
      </c>
      <c r="D11" s="10">
        <v>10</v>
      </c>
      <c r="E11" s="15">
        <v>1.1000000000000001</v>
      </c>
      <c r="F11" s="15">
        <v>2.6</v>
      </c>
      <c r="G11" s="12">
        <v>21.4</v>
      </c>
      <c r="H11" s="22"/>
      <c r="I11" s="12">
        <v>4.4000000000000004</v>
      </c>
      <c r="J11" s="12">
        <v>29.1</v>
      </c>
      <c r="K11" s="12">
        <v>40.5</v>
      </c>
      <c r="L11" s="22"/>
      <c r="M11" s="6">
        <v>878</v>
      </c>
    </row>
    <row r="12" spans="1:14" x14ac:dyDescent="0.4">
      <c r="A12" s="13">
        <v>1</v>
      </c>
      <c r="B12" s="9">
        <v>2</v>
      </c>
      <c r="C12" s="9">
        <v>6</v>
      </c>
      <c r="D12" s="10">
        <v>11</v>
      </c>
      <c r="E12" s="15">
        <v>1.8</v>
      </c>
      <c r="F12" s="15">
        <v>2.2999999999999998</v>
      </c>
      <c r="G12" s="12">
        <v>21.8</v>
      </c>
      <c r="H12" s="22"/>
      <c r="I12" s="12">
        <v>4.4000000000000004</v>
      </c>
      <c r="J12" s="12">
        <v>27.8</v>
      </c>
      <c r="K12" s="12">
        <v>41.3</v>
      </c>
      <c r="L12" s="22"/>
      <c r="M12" s="6">
        <v>878</v>
      </c>
    </row>
    <row r="13" spans="1:14" x14ac:dyDescent="0.4">
      <c r="A13" s="13">
        <v>1</v>
      </c>
      <c r="B13" s="16">
        <v>3</v>
      </c>
      <c r="C13" s="16">
        <v>1</v>
      </c>
      <c r="D13" s="10">
        <v>12</v>
      </c>
      <c r="E13" s="11">
        <v>4.3</v>
      </c>
      <c r="F13" s="11">
        <v>3.5</v>
      </c>
      <c r="G13" s="12">
        <v>15.6</v>
      </c>
      <c r="H13" s="22"/>
      <c r="I13" s="12">
        <v>22.6</v>
      </c>
      <c r="J13" s="12">
        <v>28</v>
      </c>
      <c r="K13" s="12">
        <v>46.3</v>
      </c>
      <c r="L13" s="22"/>
      <c r="M13" s="6">
        <v>898</v>
      </c>
    </row>
    <row r="14" spans="1:14" x14ac:dyDescent="0.4">
      <c r="A14" s="13">
        <v>1</v>
      </c>
      <c r="B14" s="16">
        <v>3</v>
      </c>
      <c r="C14" s="16">
        <v>2</v>
      </c>
      <c r="D14" s="10">
        <v>13</v>
      </c>
      <c r="E14" s="11">
        <v>0.1</v>
      </c>
      <c r="F14" s="11">
        <v>1.5</v>
      </c>
      <c r="G14" s="12">
        <v>15.7</v>
      </c>
      <c r="H14" s="22"/>
      <c r="I14" s="12">
        <v>5.8</v>
      </c>
      <c r="J14" s="12">
        <v>30.5</v>
      </c>
      <c r="K14" s="12">
        <v>43.7</v>
      </c>
      <c r="L14" s="22"/>
      <c r="M14" s="6">
        <v>898</v>
      </c>
    </row>
    <row r="15" spans="1:14" x14ac:dyDescent="0.4">
      <c r="A15" s="13">
        <v>1</v>
      </c>
      <c r="B15" s="16">
        <v>3</v>
      </c>
      <c r="C15" s="16">
        <v>3</v>
      </c>
      <c r="D15" s="10">
        <v>14</v>
      </c>
      <c r="E15" s="11">
        <v>1.6</v>
      </c>
      <c r="F15" s="11">
        <v>2.2000000000000002</v>
      </c>
      <c r="G15" s="12">
        <v>16.100000000000001</v>
      </c>
      <c r="H15" s="22"/>
      <c r="I15" s="12">
        <v>6.4</v>
      </c>
      <c r="J15" s="12">
        <v>32.200000000000003</v>
      </c>
      <c r="K15" s="12">
        <v>44.2</v>
      </c>
      <c r="L15" s="22"/>
      <c r="M15" s="6">
        <v>898</v>
      </c>
    </row>
    <row r="16" spans="1:14" x14ac:dyDescent="0.4">
      <c r="A16" s="13">
        <v>1</v>
      </c>
      <c r="B16" s="16">
        <v>3</v>
      </c>
      <c r="C16" s="16">
        <v>4</v>
      </c>
      <c r="D16" s="10">
        <v>15</v>
      </c>
      <c r="E16" s="11">
        <v>2.2999999999999998</v>
      </c>
      <c r="F16" s="11">
        <v>3.2</v>
      </c>
      <c r="G16" s="12">
        <v>17.899999999999999</v>
      </c>
      <c r="H16" s="22"/>
      <c r="I16" s="12">
        <v>5</v>
      </c>
      <c r="J16" s="12">
        <v>31.6</v>
      </c>
      <c r="K16" s="12">
        <v>41.4</v>
      </c>
      <c r="L16" s="22"/>
      <c r="M16" s="6">
        <v>898</v>
      </c>
    </row>
    <row r="17" spans="1:13" x14ac:dyDescent="0.4">
      <c r="A17" s="13">
        <v>1</v>
      </c>
      <c r="B17" s="16">
        <v>3</v>
      </c>
      <c r="C17" s="16">
        <v>5</v>
      </c>
      <c r="D17" s="10">
        <v>16</v>
      </c>
      <c r="E17" s="11">
        <v>1.1000000000000001</v>
      </c>
      <c r="F17" s="11">
        <v>2.1</v>
      </c>
      <c r="G17" s="12">
        <v>19.899999999999999</v>
      </c>
      <c r="H17" s="22"/>
      <c r="I17" s="12">
        <v>4.4000000000000004</v>
      </c>
      <c r="J17" s="12">
        <v>31.4</v>
      </c>
      <c r="K17" s="12">
        <v>39.299999999999997</v>
      </c>
      <c r="L17" s="22"/>
      <c r="M17" s="6">
        <v>898</v>
      </c>
    </row>
    <row r="18" spans="1:13" x14ac:dyDescent="0.4">
      <c r="A18" s="13">
        <v>1</v>
      </c>
      <c r="B18" s="16">
        <v>3</v>
      </c>
      <c r="C18" s="16">
        <v>6</v>
      </c>
      <c r="D18" s="10">
        <v>17</v>
      </c>
      <c r="E18" s="11">
        <v>1.4</v>
      </c>
      <c r="F18" s="11">
        <v>2.7</v>
      </c>
      <c r="G18" s="12">
        <v>21.5</v>
      </c>
      <c r="H18" s="22"/>
      <c r="I18" s="12">
        <v>3.5</v>
      </c>
      <c r="J18" s="12">
        <v>30</v>
      </c>
      <c r="K18" s="12">
        <v>39.6</v>
      </c>
      <c r="L18" s="22"/>
      <c r="M18" s="6">
        <v>898</v>
      </c>
    </row>
    <row r="19" spans="1:13" x14ac:dyDescent="0.4">
      <c r="A19" s="13">
        <v>1</v>
      </c>
      <c r="B19" s="9">
        <v>4</v>
      </c>
      <c r="C19" s="9">
        <v>1</v>
      </c>
      <c r="D19" s="10">
        <v>18</v>
      </c>
      <c r="E19" s="11">
        <v>0.6</v>
      </c>
      <c r="F19" s="11">
        <v>2.2000000000000002</v>
      </c>
      <c r="G19" s="12">
        <v>15</v>
      </c>
      <c r="H19" s="22"/>
      <c r="I19" s="12">
        <v>3.3</v>
      </c>
      <c r="J19" s="12">
        <v>29.4</v>
      </c>
      <c r="K19" s="12">
        <v>46.1</v>
      </c>
      <c r="L19" s="22"/>
      <c r="M19" s="6">
        <v>869</v>
      </c>
    </row>
    <row r="20" spans="1:13" x14ac:dyDescent="0.4">
      <c r="A20" s="13">
        <v>1</v>
      </c>
      <c r="B20" s="9">
        <v>4</v>
      </c>
      <c r="C20" s="9">
        <v>2</v>
      </c>
      <c r="D20" s="10">
        <v>19</v>
      </c>
      <c r="E20" s="11">
        <v>2.1</v>
      </c>
      <c r="F20" s="11">
        <v>2</v>
      </c>
      <c r="G20" s="12">
        <v>17.3</v>
      </c>
      <c r="H20" s="22"/>
      <c r="I20" s="12">
        <v>6.1</v>
      </c>
      <c r="J20" s="12">
        <v>29.6</v>
      </c>
      <c r="K20" s="12">
        <v>43</v>
      </c>
      <c r="L20" s="22"/>
      <c r="M20" s="6">
        <v>869</v>
      </c>
    </row>
    <row r="21" spans="1:13" x14ac:dyDescent="0.4">
      <c r="A21" s="13">
        <v>1</v>
      </c>
      <c r="B21" s="9">
        <v>4</v>
      </c>
      <c r="C21" s="9">
        <v>3</v>
      </c>
      <c r="D21" s="10">
        <v>20</v>
      </c>
      <c r="E21" s="11">
        <v>1.6</v>
      </c>
      <c r="F21" s="11">
        <v>2.5</v>
      </c>
      <c r="G21" s="12">
        <v>17.3</v>
      </c>
      <c r="H21" s="22"/>
      <c r="I21" s="12">
        <v>4.8</v>
      </c>
      <c r="J21" s="12">
        <v>29.9</v>
      </c>
      <c r="K21" s="12">
        <v>40.6</v>
      </c>
      <c r="L21" s="22"/>
      <c r="M21" s="6">
        <v>869</v>
      </c>
    </row>
    <row r="22" spans="1:13" x14ac:dyDescent="0.4">
      <c r="A22" s="13">
        <v>1</v>
      </c>
      <c r="B22" s="9">
        <v>4</v>
      </c>
      <c r="C22" s="9">
        <v>4</v>
      </c>
      <c r="D22" s="10">
        <v>21</v>
      </c>
      <c r="E22" s="11">
        <v>1.3</v>
      </c>
      <c r="F22" s="11">
        <v>2.2999999999999998</v>
      </c>
      <c r="G22" s="12">
        <v>19.899999999999999</v>
      </c>
      <c r="H22" s="22"/>
      <c r="I22" s="12">
        <v>3.6</v>
      </c>
      <c r="J22" s="12">
        <v>28.7</v>
      </c>
      <c r="K22" s="12">
        <v>39.700000000000003</v>
      </c>
      <c r="L22" s="22"/>
      <c r="M22" s="6">
        <v>869</v>
      </c>
    </row>
    <row r="23" spans="1:13" x14ac:dyDescent="0.4">
      <c r="A23" s="13">
        <v>1</v>
      </c>
      <c r="B23" s="9">
        <v>4</v>
      </c>
      <c r="C23" s="9">
        <v>5</v>
      </c>
      <c r="D23" s="10">
        <v>22</v>
      </c>
      <c r="E23" s="11">
        <v>1.4</v>
      </c>
      <c r="F23" s="11">
        <v>2.4</v>
      </c>
      <c r="G23" s="12">
        <v>19.100000000000001</v>
      </c>
      <c r="H23" s="22"/>
      <c r="I23" s="12">
        <v>4.3</v>
      </c>
      <c r="J23" s="12">
        <v>29.4</v>
      </c>
      <c r="K23" s="12">
        <v>40.299999999999997</v>
      </c>
      <c r="L23" s="22"/>
      <c r="M23" s="6">
        <v>869</v>
      </c>
    </row>
    <row r="24" spans="1:13" x14ac:dyDescent="0.4">
      <c r="A24" s="13">
        <v>1</v>
      </c>
      <c r="B24" s="16">
        <v>5</v>
      </c>
      <c r="C24" s="16">
        <v>1</v>
      </c>
      <c r="D24" s="10">
        <v>23</v>
      </c>
      <c r="E24" s="11">
        <v>0.5</v>
      </c>
      <c r="F24" s="11">
        <v>1.7</v>
      </c>
      <c r="G24" s="12">
        <v>15.4</v>
      </c>
      <c r="H24" s="22"/>
      <c r="I24" s="12">
        <v>4.0999999999999996</v>
      </c>
      <c r="J24" s="12">
        <v>29.7</v>
      </c>
      <c r="K24" s="12">
        <v>44.4</v>
      </c>
      <c r="L24" s="22"/>
      <c r="M24" s="6">
        <v>827</v>
      </c>
    </row>
    <row r="25" spans="1:13" x14ac:dyDescent="0.4">
      <c r="A25" s="13">
        <v>1</v>
      </c>
      <c r="B25" s="16">
        <v>5</v>
      </c>
      <c r="C25" s="16">
        <v>2</v>
      </c>
      <c r="D25" s="10">
        <v>24</v>
      </c>
      <c r="E25" s="11">
        <v>2.4</v>
      </c>
      <c r="F25" s="11">
        <v>3</v>
      </c>
      <c r="G25" s="12">
        <v>16.399999999999999</v>
      </c>
      <c r="H25" s="22"/>
      <c r="I25" s="12">
        <v>5.6</v>
      </c>
      <c r="J25" s="12">
        <v>32.299999999999997</v>
      </c>
      <c r="K25" s="12">
        <v>43.2</v>
      </c>
      <c r="L25" s="22"/>
      <c r="M25" s="6">
        <v>827</v>
      </c>
    </row>
    <row r="26" spans="1:13" x14ac:dyDescent="0.4">
      <c r="A26" s="13">
        <v>1</v>
      </c>
      <c r="B26" s="16">
        <v>5</v>
      </c>
      <c r="C26" s="16">
        <v>3</v>
      </c>
      <c r="D26" s="10">
        <v>25</v>
      </c>
      <c r="E26" s="11">
        <v>1.5</v>
      </c>
      <c r="F26" s="11">
        <v>3.2</v>
      </c>
      <c r="G26" s="12">
        <v>18.7</v>
      </c>
      <c r="H26" s="22"/>
      <c r="I26" s="12">
        <v>4.4000000000000004</v>
      </c>
      <c r="J26" s="12">
        <v>33.299999999999997</v>
      </c>
      <c r="K26" s="12">
        <v>40</v>
      </c>
      <c r="L26" s="22"/>
      <c r="M26" s="6">
        <v>827</v>
      </c>
    </row>
    <row r="27" spans="1:13" x14ac:dyDescent="0.4">
      <c r="A27" s="13">
        <v>1</v>
      </c>
      <c r="B27" s="16">
        <v>5</v>
      </c>
      <c r="C27" s="16">
        <v>4</v>
      </c>
      <c r="D27" s="10">
        <v>26</v>
      </c>
      <c r="E27" s="11">
        <v>2.5</v>
      </c>
      <c r="F27" s="11">
        <v>3.6</v>
      </c>
      <c r="G27" s="12">
        <v>19.600000000000001</v>
      </c>
      <c r="H27" s="22"/>
      <c r="I27" s="12">
        <v>4.5</v>
      </c>
      <c r="J27" s="12">
        <v>32.700000000000003</v>
      </c>
      <c r="K27" s="12">
        <v>39.200000000000003</v>
      </c>
      <c r="L27" s="22"/>
      <c r="M27" s="6">
        <v>827</v>
      </c>
    </row>
    <row r="28" spans="1:13" x14ac:dyDescent="0.4">
      <c r="A28" s="13">
        <v>1</v>
      </c>
      <c r="B28" s="9">
        <v>6</v>
      </c>
      <c r="C28" s="9">
        <v>1</v>
      </c>
      <c r="D28" s="10">
        <v>27</v>
      </c>
      <c r="E28" s="11">
        <v>0.2</v>
      </c>
      <c r="F28" s="11">
        <v>2.1</v>
      </c>
      <c r="G28" s="12">
        <v>15.1</v>
      </c>
      <c r="H28" s="22"/>
      <c r="I28" s="12">
        <v>4.8</v>
      </c>
      <c r="J28" s="12">
        <v>31.5</v>
      </c>
      <c r="K28" s="12">
        <v>43.6</v>
      </c>
      <c r="L28" s="22"/>
      <c r="M28" s="6">
        <v>827</v>
      </c>
    </row>
    <row r="29" spans="1:13" x14ac:dyDescent="0.4">
      <c r="A29" s="13">
        <v>1</v>
      </c>
      <c r="B29" s="9">
        <v>6</v>
      </c>
      <c r="C29" s="9">
        <v>2</v>
      </c>
      <c r="D29" s="10">
        <v>28</v>
      </c>
      <c r="E29" s="11">
        <v>2.8</v>
      </c>
      <c r="F29" s="11">
        <v>3.5</v>
      </c>
      <c r="G29" s="12">
        <v>18.100000000000001</v>
      </c>
      <c r="H29" s="22"/>
      <c r="I29" s="12">
        <v>3.3</v>
      </c>
      <c r="J29" s="12">
        <v>33.4</v>
      </c>
      <c r="K29" s="12">
        <v>43.1</v>
      </c>
      <c r="L29" s="22"/>
      <c r="M29" s="6">
        <v>827</v>
      </c>
    </row>
    <row r="30" spans="1:13" x14ac:dyDescent="0.4">
      <c r="A30" s="13">
        <v>1</v>
      </c>
      <c r="B30" s="9">
        <v>6</v>
      </c>
      <c r="C30" s="9">
        <v>3</v>
      </c>
      <c r="D30" s="10">
        <v>29</v>
      </c>
      <c r="E30" s="11">
        <v>1.7</v>
      </c>
      <c r="F30" s="11">
        <v>3.1</v>
      </c>
      <c r="G30" s="12">
        <v>19.399999999999999</v>
      </c>
      <c r="H30" s="22"/>
      <c r="I30" s="12">
        <v>4.7</v>
      </c>
      <c r="J30" s="12">
        <v>35.4</v>
      </c>
      <c r="K30" s="12">
        <v>39.5</v>
      </c>
      <c r="L30" s="22"/>
      <c r="M30" s="6">
        <v>827</v>
      </c>
    </row>
    <row r="31" spans="1:13" x14ac:dyDescent="0.4">
      <c r="A31" s="13">
        <v>1</v>
      </c>
      <c r="B31" s="9">
        <v>6</v>
      </c>
      <c r="C31" s="9">
        <v>4</v>
      </c>
      <c r="D31" s="10">
        <v>30</v>
      </c>
      <c r="E31" s="11">
        <v>1</v>
      </c>
      <c r="F31" s="11">
        <v>1.6</v>
      </c>
      <c r="G31" s="12">
        <v>19.600000000000001</v>
      </c>
      <c r="H31" s="22"/>
      <c r="I31" s="12">
        <v>4.2</v>
      </c>
      <c r="J31" s="12">
        <v>32.799999999999997</v>
      </c>
      <c r="K31" s="12">
        <v>38.700000000000003</v>
      </c>
      <c r="L31" s="22"/>
      <c r="M31" s="6">
        <v>827</v>
      </c>
    </row>
    <row r="32" spans="1:13" x14ac:dyDescent="0.4">
      <c r="A32" s="13">
        <v>1</v>
      </c>
      <c r="B32" s="16">
        <v>7</v>
      </c>
      <c r="C32" s="16">
        <v>1</v>
      </c>
      <c r="D32" s="10">
        <v>31</v>
      </c>
      <c r="E32" s="11">
        <v>9.4</v>
      </c>
      <c r="F32" s="11">
        <v>4.2</v>
      </c>
      <c r="G32" s="12">
        <v>13.1</v>
      </c>
      <c r="H32" s="22"/>
      <c r="I32" s="12">
        <v>20.5</v>
      </c>
      <c r="J32" s="12">
        <v>28.2</v>
      </c>
      <c r="K32" s="12">
        <v>45.7</v>
      </c>
      <c r="L32" s="22"/>
      <c r="M32" s="6">
        <v>827</v>
      </c>
    </row>
    <row r="33" spans="1:13" x14ac:dyDescent="0.4">
      <c r="A33" s="13">
        <v>1</v>
      </c>
      <c r="B33" s="16">
        <v>7</v>
      </c>
      <c r="C33" s="16">
        <v>2</v>
      </c>
      <c r="D33" s="10">
        <v>32</v>
      </c>
      <c r="E33" s="11">
        <v>1</v>
      </c>
      <c r="F33" s="11">
        <v>2</v>
      </c>
      <c r="G33" s="12">
        <v>14.4</v>
      </c>
      <c r="H33" s="22"/>
      <c r="I33" s="12">
        <v>4.4000000000000004</v>
      </c>
      <c r="J33" s="12">
        <v>31.6</v>
      </c>
      <c r="K33" s="12">
        <v>45.6</v>
      </c>
      <c r="L33" s="22"/>
      <c r="M33" s="6">
        <v>827</v>
      </c>
    </row>
    <row r="34" spans="1:13" x14ac:dyDescent="0.4">
      <c r="A34" s="13">
        <v>1</v>
      </c>
      <c r="B34" s="16">
        <v>7</v>
      </c>
      <c r="C34" s="16">
        <v>3</v>
      </c>
      <c r="D34" s="10">
        <v>33</v>
      </c>
      <c r="E34" s="11">
        <v>1.6</v>
      </c>
      <c r="F34" s="11">
        <v>2.5</v>
      </c>
      <c r="G34" s="12">
        <v>16</v>
      </c>
      <c r="H34" s="22"/>
      <c r="I34" s="12">
        <v>4.2</v>
      </c>
      <c r="J34" s="12">
        <v>28.3</v>
      </c>
      <c r="K34" s="12">
        <v>43.3</v>
      </c>
      <c r="L34" s="22"/>
      <c r="M34" s="6">
        <v>827</v>
      </c>
    </row>
    <row r="35" spans="1:13" x14ac:dyDescent="0.4">
      <c r="A35" s="13">
        <v>1</v>
      </c>
      <c r="B35" s="16">
        <v>7</v>
      </c>
      <c r="C35" s="16">
        <v>4</v>
      </c>
      <c r="D35" s="10">
        <v>34</v>
      </c>
      <c r="E35" s="11">
        <v>1.4</v>
      </c>
      <c r="F35" s="11">
        <v>1.6</v>
      </c>
      <c r="G35" s="12">
        <v>15.7</v>
      </c>
      <c r="H35" s="22"/>
      <c r="I35" s="12">
        <v>3.3</v>
      </c>
      <c r="J35" s="12">
        <v>28.4</v>
      </c>
      <c r="K35" s="12">
        <v>42</v>
      </c>
      <c r="L35" s="22"/>
      <c r="M35" s="6">
        <v>827</v>
      </c>
    </row>
    <row r="36" spans="1:13" x14ac:dyDescent="0.4">
      <c r="A36" s="13">
        <v>1</v>
      </c>
      <c r="B36" s="16">
        <v>7</v>
      </c>
      <c r="C36" s="16">
        <v>5</v>
      </c>
      <c r="D36" s="10">
        <v>35</v>
      </c>
      <c r="E36" s="11">
        <v>0.1</v>
      </c>
      <c r="F36" s="11">
        <v>1.3</v>
      </c>
      <c r="G36" s="12">
        <v>16.8</v>
      </c>
      <c r="H36" s="22"/>
      <c r="I36" s="12">
        <v>3</v>
      </c>
      <c r="J36" s="12">
        <v>34.1</v>
      </c>
      <c r="K36" s="12">
        <v>39.9</v>
      </c>
      <c r="L36" s="22"/>
      <c r="M36" s="6">
        <v>827</v>
      </c>
    </row>
    <row r="37" spans="1:13" x14ac:dyDescent="0.4">
      <c r="A37" s="13">
        <v>1</v>
      </c>
      <c r="B37" s="16">
        <v>7</v>
      </c>
      <c r="C37" s="16">
        <v>6</v>
      </c>
      <c r="D37" s="10">
        <v>36</v>
      </c>
      <c r="E37" s="11">
        <v>0.6</v>
      </c>
      <c r="F37" s="11">
        <v>1.8</v>
      </c>
      <c r="G37" s="12">
        <v>18.5</v>
      </c>
      <c r="H37" s="22"/>
      <c r="I37" s="12">
        <v>2.2999999999999998</v>
      </c>
      <c r="J37" s="12">
        <v>28.8</v>
      </c>
      <c r="K37" s="12">
        <v>39.799999999999997</v>
      </c>
      <c r="L37" s="22"/>
      <c r="M37" s="6">
        <v>827</v>
      </c>
    </row>
    <row r="38" spans="1:13" x14ac:dyDescent="0.4">
      <c r="A38" s="13">
        <v>1</v>
      </c>
      <c r="B38" s="9">
        <v>8</v>
      </c>
      <c r="C38" s="9">
        <v>1</v>
      </c>
      <c r="D38" s="10">
        <v>37</v>
      </c>
      <c r="E38" s="11">
        <v>2</v>
      </c>
      <c r="F38" s="11">
        <v>1.4</v>
      </c>
      <c r="G38" s="12">
        <v>14.4</v>
      </c>
      <c r="H38" s="22"/>
      <c r="I38" s="12">
        <v>18.100000000000001</v>
      </c>
      <c r="J38" s="12">
        <v>29.4</v>
      </c>
      <c r="K38" s="12">
        <v>45.5</v>
      </c>
      <c r="L38" s="22"/>
      <c r="M38" s="6">
        <v>827</v>
      </c>
    </row>
    <row r="39" spans="1:13" x14ac:dyDescent="0.4">
      <c r="A39" s="13">
        <v>1</v>
      </c>
      <c r="B39" s="9">
        <v>8</v>
      </c>
      <c r="C39" s="9">
        <v>2</v>
      </c>
      <c r="D39" s="10">
        <v>38</v>
      </c>
      <c r="E39" s="11">
        <v>3.2</v>
      </c>
      <c r="F39" s="11">
        <v>3.8</v>
      </c>
      <c r="G39" s="12">
        <v>14.8</v>
      </c>
      <c r="H39" s="22"/>
      <c r="I39" s="12">
        <v>2.5</v>
      </c>
      <c r="J39" s="12">
        <v>28.4</v>
      </c>
      <c r="K39" s="12">
        <v>46.3</v>
      </c>
      <c r="L39" s="22"/>
      <c r="M39" s="6">
        <v>827</v>
      </c>
    </row>
    <row r="40" spans="1:13" x14ac:dyDescent="0.4">
      <c r="A40" s="13">
        <v>1</v>
      </c>
      <c r="B40" s="9">
        <v>8</v>
      </c>
      <c r="C40" s="9">
        <v>3</v>
      </c>
      <c r="D40" s="10">
        <v>39</v>
      </c>
      <c r="E40" s="11">
        <v>2.1</v>
      </c>
      <c r="F40" s="11">
        <v>2.5</v>
      </c>
      <c r="G40" s="12">
        <v>14.5</v>
      </c>
      <c r="H40" s="22"/>
      <c r="I40" s="12">
        <v>3.7</v>
      </c>
      <c r="J40" s="12">
        <v>31.3</v>
      </c>
      <c r="K40" s="12">
        <v>43.7</v>
      </c>
      <c r="L40" s="22"/>
      <c r="M40" s="6">
        <v>827</v>
      </c>
    </row>
    <row r="41" spans="1:13" x14ac:dyDescent="0.4">
      <c r="A41" s="13">
        <v>1</v>
      </c>
      <c r="B41" s="9">
        <v>8</v>
      </c>
      <c r="C41" s="9">
        <v>4</v>
      </c>
      <c r="D41" s="10">
        <v>40</v>
      </c>
      <c r="E41" s="11">
        <v>1.7</v>
      </c>
      <c r="F41" s="11">
        <v>1.6</v>
      </c>
      <c r="G41" s="12">
        <v>15.9</v>
      </c>
      <c r="H41" s="22"/>
      <c r="I41" s="12">
        <v>3.7</v>
      </c>
      <c r="J41" s="12">
        <v>29.8</v>
      </c>
      <c r="K41" s="12">
        <v>41.3</v>
      </c>
      <c r="L41" s="22"/>
      <c r="M41" s="6">
        <v>827</v>
      </c>
    </row>
    <row r="42" spans="1:13" x14ac:dyDescent="0.4">
      <c r="A42" s="13">
        <v>1</v>
      </c>
      <c r="B42" s="9">
        <v>8</v>
      </c>
      <c r="C42" s="9">
        <v>5</v>
      </c>
      <c r="D42" s="10">
        <v>41</v>
      </c>
      <c r="E42" s="11">
        <v>0.8</v>
      </c>
      <c r="F42" s="11">
        <v>2.6</v>
      </c>
      <c r="G42" s="12">
        <v>17.5</v>
      </c>
      <c r="H42" s="22"/>
      <c r="I42" s="12">
        <v>2.5</v>
      </c>
      <c r="J42" s="12">
        <v>29.4</v>
      </c>
      <c r="K42" s="12">
        <v>40.700000000000003</v>
      </c>
      <c r="L42" s="22"/>
      <c r="M42" s="6">
        <v>827</v>
      </c>
    </row>
    <row r="43" spans="1:13" x14ac:dyDescent="0.4">
      <c r="A43" s="13">
        <v>1</v>
      </c>
      <c r="B43" s="9">
        <v>8</v>
      </c>
      <c r="C43" s="9">
        <v>6</v>
      </c>
      <c r="D43" s="10">
        <v>42</v>
      </c>
      <c r="E43" s="11">
        <v>1.1000000000000001</v>
      </c>
      <c r="F43" s="11">
        <v>2.6</v>
      </c>
      <c r="G43" s="12">
        <v>17.600000000000001</v>
      </c>
      <c r="H43" s="22"/>
      <c r="I43" s="12">
        <v>2.4</v>
      </c>
      <c r="J43" s="12">
        <v>30.8</v>
      </c>
      <c r="K43" s="12">
        <v>40.6</v>
      </c>
      <c r="L43" s="22"/>
      <c r="M43" s="6">
        <v>827</v>
      </c>
    </row>
    <row r="44" spans="1:13" x14ac:dyDescent="0.4">
      <c r="A44" s="13">
        <v>1</v>
      </c>
      <c r="B44" s="16">
        <v>9</v>
      </c>
      <c r="C44" s="16">
        <v>1</v>
      </c>
      <c r="D44" s="10">
        <v>43</v>
      </c>
      <c r="E44" s="11">
        <v>0.5</v>
      </c>
      <c r="F44" s="11">
        <v>1.4</v>
      </c>
      <c r="G44" s="12">
        <v>14.1</v>
      </c>
      <c r="H44" s="22"/>
      <c r="I44" s="12">
        <v>2.4</v>
      </c>
      <c r="J44" s="12">
        <v>28.5</v>
      </c>
      <c r="K44" s="12">
        <v>45.5</v>
      </c>
      <c r="L44" s="22"/>
      <c r="M44" s="6">
        <v>803</v>
      </c>
    </row>
    <row r="45" spans="1:13" x14ac:dyDescent="0.4">
      <c r="A45" s="13">
        <v>1</v>
      </c>
      <c r="B45" s="16">
        <v>9</v>
      </c>
      <c r="C45" s="16">
        <v>2</v>
      </c>
      <c r="D45" s="10">
        <v>44</v>
      </c>
      <c r="E45" s="11">
        <v>1.6</v>
      </c>
      <c r="F45" s="11">
        <v>2.2000000000000002</v>
      </c>
      <c r="G45" s="12">
        <v>16.3</v>
      </c>
      <c r="H45" s="22"/>
      <c r="I45" s="12">
        <v>3.9</v>
      </c>
      <c r="J45" s="12">
        <v>29.5</v>
      </c>
      <c r="K45" s="12">
        <v>42</v>
      </c>
      <c r="L45" s="22"/>
      <c r="M45" s="6">
        <v>803</v>
      </c>
    </row>
    <row r="46" spans="1:13" x14ac:dyDescent="0.4">
      <c r="A46" s="13">
        <v>1</v>
      </c>
      <c r="B46" s="16">
        <v>9</v>
      </c>
      <c r="C46" s="16">
        <v>3</v>
      </c>
      <c r="D46" s="10">
        <v>45</v>
      </c>
      <c r="E46" s="11">
        <v>1.3</v>
      </c>
      <c r="F46" s="11">
        <v>2</v>
      </c>
      <c r="G46" s="12">
        <v>17.7</v>
      </c>
      <c r="H46" s="22"/>
      <c r="I46" s="12">
        <v>3.8</v>
      </c>
      <c r="J46" s="12">
        <v>29.6</v>
      </c>
      <c r="K46" s="12">
        <v>40.6</v>
      </c>
      <c r="L46" s="22"/>
      <c r="M46" s="6">
        <v>803</v>
      </c>
    </row>
    <row r="47" spans="1:13" x14ac:dyDescent="0.4">
      <c r="A47" s="13">
        <v>1</v>
      </c>
      <c r="B47" s="16">
        <v>9</v>
      </c>
      <c r="C47" s="16">
        <v>4</v>
      </c>
      <c r="D47" s="10">
        <v>46</v>
      </c>
      <c r="E47" s="11">
        <v>2.6</v>
      </c>
      <c r="F47" s="11">
        <v>3.3</v>
      </c>
      <c r="G47" s="12">
        <v>20.399999999999999</v>
      </c>
      <c r="H47" s="22"/>
      <c r="I47" s="12">
        <v>5.2</v>
      </c>
      <c r="J47" s="12">
        <v>34.799999999999997</v>
      </c>
      <c r="K47" s="12">
        <v>40.299999999999997</v>
      </c>
      <c r="L47" s="22"/>
      <c r="M47" s="6">
        <v>803</v>
      </c>
    </row>
    <row r="48" spans="1:13" x14ac:dyDescent="0.4">
      <c r="A48" s="13">
        <v>1</v>
      </c>
      <c r="B48" s="9">
        <v>10</v>
      </c>
      <c r="C48" s="9">
        <v>1</v>
      </c>
      <c r="D48" s="10">
        <v>47</v>
      </c>
      <c r="E48" s="11">
        <v>7.7</v>
      </c>
      <c r="F48" s="11">
        <v>3.1</v>
      </c>
      <c r="G48" s="12">
        <v>16.2</v>
      </c>
      <c r="H48" s="22"/>
      <c r="I48" s="12">
        <v>21.6</v>
      </c>
      <c r="J48" s="12">
        <v>29.6</v>
      </c>
      <c r="K48" s="12">
        <v>48.2</v>
      </c>
      <c r="L48" s="22"/>
      <c r="M48" s="6">
        <v>783</v>
      </c>
    </row>
    <row r="49" spans="1:13" x14ac:dyDescent="0.4">
      <c r="A49" s="13">
        <v>1</v>
      </c>
      <c r="B49" s="9">
        <v>10</v>
      </c>
      <c r="C49" s="9">
        <v>2</v>
      </c>
      <c r="D49" s="10">
        <v>48</v>
      </c>
      <c r="E49" s="11">
        <v>0.1</v>
      </c>
      <c r="F49" s="11">
        <v>0.8</v>
      </c>
      <c r="G49" s="12">
        <v>17</v>
      </c>
      <c r="H49" s="22"/>
      <c r="I49" s="12">
        <v>6</v>
      </c>
      <c r="J49" s="12">
        <v>30.2</v>
      </c>
      <c r="K49" s="12">
        <v>45.8</v>
      </c>
      <c r="L49" s="22"/>
      <c r="M49" s="6">
        <v>783</v>
      </c>
    </row>
    <row r="50" spans="1:13" x14ac:dyDescent="0.4">
      <c r="A50" s="13">
        <v>1</v>
      </c>
      <c r="B50" s="9">
        <v>10</v>
      </c>
      <c r="C50" s="9">
        <v>3</v>
      </c>
      <c r="D50" s="10">
        <v>49</v>
      </c>
      <c r="E50" s="11">
        <v>1</v>
      </c>
      <c r="F50" s="11">
        <v>2.4</v>
      </c>
      <c r="G50" s="12">
        <v>18.5</v>
      </c>
      <c r="H50" s="22"/>
      <c r="I50" s="12">
        <v>5.5</v>
      </c>
      <c r="J50" s="12">
        <v>32.6</v>
      </c>
      <c r="K50" s="12">
        <v>44.9</v>
      </c>
      <c r="L50" s="22"/>
      <c r="M50" s="6">
        <v>783</v>
      </c>
    </row>
    <row r="51" spans="1:13" x14ac:dyDescent="0.4">
      <c r="A51" s="13">
        <v>1</v>
      </c>
      <c r="B51" s="9">
        <v>10</v>
      </c>
      <c r="C51" s="9">
        <v>4</v>
      </c>
      <c r="D51" s="10">
        <v>50</v>
      </c>
      <c r="E51" s="11">
        <v>3.2</v>
      </c>
      <c r="F51" s="11">
        <v>2.7</v>
      </c>
      <c r="G51" s="12">
        <v>19.399999999999999</v>
      </c>
      <c r="H51" s="22"/>
      <c r="I51" s="12">
        <v>4.7</v>
      </c>
      <c r="J51" s="12">
        <v>31.6</v>
      </c>
      <c r="K51" s="12">
        <v>41.5</v>
      </c>
      <c r="L51" s="22"/>
      <c r="M51" s="6">
        <v>783</v>
      </c>
    </row>
    <row r="52" spans="1:13" x14ac:dyDescent="0.4">
      <c r="A52" s="13">
        <v>1</v>
      </c>
      <c r="B52" s="9">
        <v>10</v>
      </c>
      <c r="C52" s="9">
        <v>5</v>
      </c>
      <c r="D52" s="10">
        <v>51</v>
      </c>
      <c r="E52" s="11">
        <v>1</v>
      </c>
      <c r="F52" s="11">
        <v>1.8</v>
      </c>
      <c r="G52" s="12">
        <v>20.5</v>
      </c>
      <c r="H52" s="22"/>
      <c r="I52" s="12">
        <v>3.3</v>
      </c>
      <c r="J52" s="12">
        <v>32.200000000000003</v>
      </c>
      <c r="K52" s="12">
        <v>40.4</v>
      </c>
      <c r="L52" s="22"/>
      <c r="M52" s="6">
        <v>783</v>
      </c>
    </row>
    <row r="53" spans="1:13" x14ac:dyDescent="0.4">
      <c r="A53" s="13">
        <v>1</v>
      </c>
      <c r="B53" s="9">
        <v>10</v>
      </c>
      <c r="C53" s="9">
        <v>6</v>
      </c>
      <c r="D53" s="10">
        <v>52</v>
      </c>
      <c r="E53" s="11">
        <v>2</v>
      </c>
      <c r="F53" s="11">
        <v>2</v>
      </c>
      <c r="G53" s="12">
        <v>21.8</v>
      </c>
      <c r="H53" s="22"/>
      <c r="I53" s="12">
        <v>2.5</v>
      </c>
      <c r="J53" s="12">
        <v>32.1</v>
      </c>
      <c r="K53" s="12">
        <v>39.200000000000003</v>
      </c>
      <c r="L53" s="22"/>
      <c r="M53" s="6">
        <v>783</v>
      </c>
    </row>
    <row r="54" spans="1:13" x14ac:dyDescent="0.4">
      <c r="A54" s="9">
        <v>2</v>
      </c>
      <c r="B54" s="16">
        <v>1</v>
      </c>
      <c r="C54" s="16">
        <v>4</v>
      </c>
      <c r="D54" s="10">
        <v>1</v>
      </c>
      <c r="E54" s="11">
        <v>9.4</v>
      </c>
      <c r="F54" s="11">
        <v>4</v>
      </c>
      <c r="G54" s="12">
        <v>21.5</v>
      </c>
      <c r="H54" s="22"/>
      <c r="I54" s="12">
        <v>15</v>
      </c>
      <c r="J54" s="12">
        <v>32</v>
      </c>
      <c r="K54" s="12">
        <v>71.2</v>
      </c>
      <c r="L54" s="22"/>
      <c r="M54" s="6">
        <v>902</v>
      </c>
    </row>
    <row r="55" spans="1:13" x14ac:dyDescent="0.4">
      <c r="A55" s="9">
        <v>2</v>
      </c>
      <c r="B55" s="9">
        <v>2</v>
      </c>
      <c r="C55" s="9">
        <v>3</v>
      </c>
      <c r="D55" s="10">
        <v>2</v>
      </c>
      <c r="E55" s="11">
        <v>12</v>
      </c>
      <c r="F55" s="11">
        <v>9</v>
      </c>
      <c r="G55" s="12">
        <v>20.9</v>
      </c>
      <c r="H55" s="22"/>
      <c r="I55" s="12">
        <v>17</v>
      </c>
      <c r="J55" s="12">
        <v>32</v>
      </c>
      <c r="K55" s="12">
        <v>69.400000000000006</v>
      </c>
      <c r="L55" s="22"/>
      <c r="M55" s="6">
        <v>898</v>
      </c>
    </row>
    <row r="56" spans="1:13" x14ac:dyDescent="0.4">
      <c r="A56" s="9">
        <v>2</v>
      </c>
      <c r="B56" s="16">
        <v>3</v>
      </c>
      <c r="C56" s="16">
        <v>3</v>
      </c>
      <c r="D56" s="10">
        <v>3</v>
      </c>
      <c r="E56" s="11">
        <v>13.7</v>
      </c>
      <c r="F56" s="11">
        <v>8</v>
      </c>
      <c r="G56" s="12">
        <v>20.5</v>
      </c>
      <c r="H56" s="22"/>
      <c r="I56" s="12">
        <v>15</v>
      </c>
      <c r="J56" s="12">
        <v>32</v>
      </c>
      <c r="K56" s="12">
        <v>75.400000000000006</v>
      </c>
      <c r="L56" s="22"/>
      <c r="M56" s="6">
        <v>910</v>
      </c>
    </row>
    <row r="57" spans="1:13" x14ac:dyDescent="0.4">
      <c r="A57" s="9">
        <v>2</v>
      </c>
      <c r="B57" s="9">
        <v>4</v>
      </c>
      <c r="C57" s="9">
        <v>3</v>
      </c>
      <c r="D57" s="10">
        <v>4</v>
      </c>
      <c r="E57" s="11">
        <v>13.5</v>
      </c>
      <c r="F57" s="11">
        <v>6</v>
      </c>
      <c r="G57" s="12">
        <v>19.8</v>
      </c>
      <c r="H57" s="22"/>
      <c r="I57" s="12">
        <v>17</v>
      </c>
      <c r="J57" s="12">
        <v>34</v>
      </c>
      <c r="K57" s="12">
        <v>61.8</v>
      </c>
      <c r="L57" s="22"/>
      <c r="M57" s="6">
        <v>891</v>
      </c>
    </row>
    <row r="58" spans="1:13" x14ac:dyDescent="0.4">
      <c r="A58" s="9">
        <v>2</v>
      </c>
      <c r="B58" s="16">
        <v>5</v>
      </c>
      <c r="C58" s="16">
        <v>3</v>
      </c>
      <c r="D58" s="10">
        <v>5</v>
      </c>
      <c r="E58" s="11">
        <v>11.3</v>
      </c>
      <c r="F58" s="11">
        <v>8</v>
      </c>
      <c r="G58" s="12">
        <v>21.6</v>
      </c>
      <c r="H58" s="22"/>
      <c r="I58" s="12">
        <v>17</v>
      </c>
      <c r="J58" s="12">
        <v>34</v>
      </c>
      <c r="K58" s="12">
        <v>69.599999999999994</v>
      </c>
      <c r="L58" s="22"/>
      <c r="M58" s="6">
        <v>754</v>
      </c>
    </row>
    <row r="59" spans="1:13" x14ac:dyDescent="0.4">
      <c r="A59" s="9">
        <v>2</v>
      </c>
      <c r="B59" s="9">
        <v>6</v>
      </c>
      <c r="C59" s="9">
        <v>8</v>
      </c>
      <c r="D59" s="10">
        <v>6</v>
      </c>
      <c r="E59" s="11">
        <v>15.4</v>
      </c>
      <c r="F59" s="11">
        <v>6</v>
      </c>
      <c r="G59" s="12">
        <v>27.2</v>
      </c>
      <c r="H59" s="22"/>
      <c r="I59" s="12">
        <v>15</v>
      </c>
      <c r="J59" s="12">
        <v>38</v>
      </c>
      <c r="K59" s="12">
        <v>69.900000000000006</v>
      </c>
      <c r="L59" s="22"/>
      <c r="M59" s="6">
        <v>1028</v>
      </c>
    </row>
    <row r="60" spans="1:13" x14ac:dyDescent="0.4">
      <c r="A60" s="9">
        <v>2</v>
      </c>
      <c r="B60" s="16">
        <v>7</v>
      </c>
      <c r="C60" s="16">
        <v>4</v>
      </c>
      <c r="D60" s="10">
        <v>7</v>
      </c>
      <c r="E60" s="11">
        <v>7.1</v>
      </c>
      <c r="F60" s="11">
        <v>5</v>
      </c>
      <c r="G60" s="12">
        <v>18.8</v>
      </c>
      <c r="H60" s="22"/>
      <c r="I60" s="12">
        <v>18</v>
      </c>
      <c r="J60" s="12">
        <v>33</v>
      </c>
      <c r="K60" s="12">
        <v>70.400000000000006</v>
      </c>
      <c r="L60" s="22"/>
      <c r="M60" s="6">
        <v>891</v>
      </c>
    </row>
    <row r="61" spans="1:13" x14ac:dyDescent="0.4">
      <c r="A61" s="9">
        <v>2</v>
      </c>
      <c r="B61" s="9">
        <v>8</v>
      </c>
      <c r="C61" s="9">
        <v>3</v>
      </c>
      <c r="D61" s="10">
        <v>8</v>
      </c>
      <c r="E61" s="11">
        <v>9.9</v>
      </c>
      <c r="F61" s="11">
        <v>7</v>
      </c>
      <c r="G61" s="12">
        <v>21.1</v>
      </c>
      <c r="H61" s="22"/>
      <c r="I61" s="12">
        <v>23</v>
      </c>
      <c r="J61" s="12">
        <v>35</v>
      </c>
      <c r="K61" s="12">
        <v>71.2</v>
      </c>
      <c r="L61" s="22"/>
      <c r="M61" s="6">
        <v>887</v>
      </c>
    </row>
    <row r="62" spans="1:13" x14ac:dyDescent="0.4">
      <c r="A62" s="9">
        <v>2</v>
      </c>
      <c r="B62" s="16">
        <v>9</v>
      </c>
      <c r="C62" s="16">
        <v>4</v>
      </c>
      <c r="D62" s="10">
        <v>9</v>
      </c>
      <c r="E62" s="11">
        <v>12.9</v>
      </c>
      <c r="F62" s="11">
        <v>6</v>
      </c>
      <c r="G62" s="12">
        <v>21.2</v>
      </c>
      <c r="H62" s="22"/>
      <c r="I62" s="12">
        <v>19</v>
      </c>
      <c r="J62" s="12">
        <v>34</v>
      </c>
      <c r="K62" s="12">
        <v>72</v>
      </c>
      <c r="L62" s="22"/>
      <c r="M62" s="6">
        <v>891</v>
      </c>
    </row>
    <row r="63" spans="1:13" x14ac:dyDescent="0.4">
      <c r="A63" s="9">
        <v>2</v>
      </c>
      <c r="B63" s="9">
        <v>10</v>
      </c>
      <c r="C63" s="9">
        <v>3</v>
      </c>
      <c r="D63" s="10">
        <v>10</v>
      </c>
      <c r="E63" s="11">
        <v>11</v>
      </c>
      <c r="F63" s="11">
        <v>6</v>
      </c>
      <c r="G63" s="12">
        <v>21.4</v>
      </c>
      <c r="H63" s="22"/>
      <c r="I63" s="12">
        <v>21</v>
      </c>
      <c r="J63" s="12">
        <v>35</v>
      </c>
      <c r="K63" s="12">
        <v>70</v>
      </c>
      <c r="L63" s="22"/>
      <c r="M63" s="6">
        <v>894</v>
      </c>
    </row>
    <row r="64" spans="1:13" x14ac:dyDescent="0.4">
      <c r="A64" s="13">
        <v>3</v>
      </c>
      <c r="B64" s="16">
        <v>1</v>
      </c>
      <c r="C64" s="16">
        <v>7</v>
      </c>
      <c r="D64" s="10">
        <v>1</v>
      </c>
      <c r="E64" s="5">
        <v>1.7</v>
      </c>
      <c r="F64" s="5">
        <v>2</v>
      </c>
      <c r="G64" s="6">
        <v>11.6</v>
      </c>
      <c r="H64" s="22"/>
      <c r="I64" s="6">
        <v>7</v>
      </c>
      <c r="J64" s="6">
        <v>32</v>
      </c>
      <c r="K64" s="6">
        <v>37.299999999999997</v>
      </c>
      <c r="L64" s="22"/>
      <c r="M64" s="6">
        <v>1047</v>
      </c>
    </row>
    <row r="65" spans="1:13" x14ac:dyDescent="0.4">
      <c r="A65" s="13">
        <v>3</v>
      </c>
      <c r="B65" s="9">
        <v>2</v>
      </c>
      <c r="C65" s="9">
        <v>8</v>
      </c>
      <c r="D65" s="10">
        <v>2</v>
      </c>
      <c r="E65" s="5">
        <v>3.1</v>
      </c>
      <c r="F65" s="5">
        <v>2</v>
      </c>
      <c r="G65" s="6">
        <v>11.8</v>
      </c>
      <c r="H65" s="22"/>
      <c r="I65" s="6">
        <v>6</v>
      </c>
      <c r="J65" s="6">
        <v>33</v>
      </c>
      <c r="K65" s="6">
        <v>36.799999999999997</v>
      </c>
      <c r="L65" s="22"/>
      <c r="M65" s="6">
        <v>1054</v>
      </c>
    </row>
    <row r="66" spans="1:13" x14ac:dyDescent="0.4">
      <c r="A66" s="13">
        <v>3</v>
      </c>
      <c r="B66" s="16">
        <v>3</v>
      </c>
      <c r="C66" s="16">
        <v>8</v>
      </c>
      <c r="D66" s="10">
        <v>3</v>
      </c>
      <c r="E66" s="5">
        <v>2.4</v>
      </c>
      <c r="F66" s="5">
        <v>2</v>
      </c>
      <c r="G66" s="6">
        <v>10.9</v>
      </c>
      <c r="H66" s="22"/>
      <c r="I66" s="6">
        <v>6</v>
      </c>
      <c r="J66" s="6">
        <v>32</v>
      </c>
      <c r="K66" s="6">
        <v>36.799999999999997</v>
      </c>
      <c r="L66" s="22"/>
      <c r="M66" s="6">
        <v>521</v>
      </c>
    </row>
    <row r="67" spans="1:13" x14ac:dyDescent="0.4">
      <c r="A67" s="13">
        <v>3</v>
      </c>
      <c r="B67" s="9">
        <v>4</v>
      </c>
      <c r="C67" s="9">
        <v>12</v>
      </c>
      <c r="D67" s="10">
        <v>4</v>
      </c>
      <c r="E67" s="5">
        <v>2.5</v>
      </c>
      <c r="F67" s="5">
        <v>2</v>
      </c>
      <c r="G67" s="6">
        <v>11.6</v>
      </c>
      <c r="H67" s="22"/>
      <c r="I67" s="6">
        <v>5</v>
      </c>
      <c r="J67" s="6">
        <v>30</v>
      </c>
      <c r="K67" s="6">
        <v>38.5</v>
      </c>
      <c r="L67" s="22"/>
      <c r="M67" s="6">
        <v>1579</v>
      </c>
    </row>
    <row r="68" spans="1:13" x14ac:dyDescent="0.4">
      <c r="A68" s="13">
        <v>3</v>
      </c>
      <c r="B68" s="16">
        <v>5</v>
      </c>
      <c r="C68" s="16">
        <v>9</v>
      </c>
      <c r="D68" s="10">
        <v>5</v>
      </c>
      <c r="E68" s="5">
        <v>3.6</v>
      </c>
      <c r="F68" s="5">
        <v>2</v>
      </c>
      <c r="G68" s="6">
        <v>11.3</v>
      </c>
      <c r="H68" s="22"/>
      <c r="I68" s="6">
        <v>6</v>
      </c>
      <c r="J68" s="6">
        <v>29</v>
      </c>
      <c r="K68" s="6">
        <v>40.1</v>
      </c>
      <c r="L68" s="22"/>
      <c r="M68" s="6">
        <v>1047</v>
      </c>
    </row>
    <row r="69" spans="1:13" x14ac:dyDescent="0.4">
      <c r="A69" s="13">
        <v>3</v>
      </c>
      <c r="B69" s="9">
        <v>6</v>
      </c>
      <c r="C69" s="9">
        <v>9</v>
      </c>
      <c r="D69" s="10">
        <v>6</v>
      </c>
      <c r="E69" s="5">
        <v>3.5</v>
      </c>
      <c r="F69" s="5">
        <v>2</v>
      </c>
      <c r="G69" s="6">
        <v>11.7</v>
      </c>
      <c r="H69" s="22"/>
      <c r="I69" s="6">
        <v>7</v>
      </c>
      <c r="J69" s="6">
        <v>31</v>
      </c>
      <c r="K69" s="6">
        <v>41.6</v>
      </c>
      <c r="L69" s="22"/>
      <c r="M69" s="6">
        <v>1039</v>
      </c>
    </row>
    <row r="70" spans="1:13" x14ac:dyDescent="0.4">
      <c r="A70" s="13">
        <v>3</v>
      </c>
      <c r="B70" s="16">
        <v>7</v>
      </c>
      <c r="C70" s="16">
        <v>9</v>
      </c>
      <c r="D70" s="10">
        <v>7</v>
      </c>
      <c r="E70" s="5">
        <v>2.9</v>
      </c>
      <c r="F70" s="5">
        <v>3</v>
      </c>
      <c r="G70" s="6">
        <v>9.5</v>
      </c>
      <c r="H70" s="22"/>
      <c r="I70" s="6">
        <v>7</v>
      </c>
      <c r="J70" s="6">
        <v>31</v>
      </c>
      <c r="K70" s="6">
        <v>42.1</v>
      </c>
      <c r="L70" s="22"/>
      <c r="M70" s="6">
        <v>1047</v>
      </c>
    </row>
    <row r="71" spans="1:13" x14ac:dyDescent="0.4">
      <c r="A71" s="13">
        <v>3</v>
      </c>
      <c r="B71" s="9">
        <v>8</v>
      </c>
      <c r="C71" s="9">
        <v>9</v>
      </c>
      <c r="D71" s="10">
        <v>8</v>
      </c>
      <c r="E71" s="5">
        <v>3.3</v>
      </c>
      <c r="F71" s="5">
        <v>3</v>
      </c>
      <c r="G71" s="6">
        <v>9.1</v>
      </c>
      <c r="H71" s="22"/>
      <c r="I71" s="6">
        <v>6</v>
      </c>
      <c r="J71" s="6">
        <v>28</v>
      </c>
      <c r="K71" s="6">
        <v>41.7</v>
      </c>
      <c r="L71" s="22"/>
      <c r="M71" s="6">
        <v>548</v>
      </c>
    </row>
    <row r="72" spans="1:13" x14ac:dyDescent="0.4">
      <c r="A72" s="13">
        <v>3</v>
      </c>
      <c r="B72" s="16">
        <v>9</v>
      </c>
      <c r="C72" s="16">
        <v>14</v>
      </c>
      <c r="D72" s="10">
        <v>9</v>
      </c>
      <c r="E72" s="5">
        <v>2</v>
      </c>
      <c r="F72" s="5">
        <v>2</v>
      </c>
      <c r="G72" s="6">
        <v>11.7</v>
      </c>
      <c r="H72" s="22"/>
      <c r="I72" s="6">
        <v>5</v>
      </c>
      <c r="J72" s="6">
        <v>27</v>
      </c>
      <c r="K72" s="6">
        <v>38</v>
      </c>
      <c r="L72" s="22"/>
      <c r="M72" s="6">
        <v>1549</v>
      </c>
    </row>
    <row r="73" spans="1:13" x14ac:dyDescent="0.4">
      <c r="A73" s="13">
        <v>3</v>
      </c>
      <c r="B73" s="9">
        <v>10</v>
      </c>
      <c r="C73" s="9">
        <v>9</v>
      </c>
      <c r="D73" s="10">
        <v>10</v>
      </c>
      <c r="E73" s="5">
        <v>2.8</v>
      </c>
      <c r="F73" s="5">
        <v>3</v>
      </c>
      <c r="G73" s="6">
        <v>11.5</v>
      </c>
      <c r="H73" s="22"/>
      <c r="I73" s="6">
        <v>5</v>
      </c>
      <c r="J73" s="6">
        <v>30</v>
      </c>
      <c r="K73" s="6">
        <v>40.799999999999997</v>
      </c>
      <c r="L73" s="22"/>
      <c r="M73" s="6">
        <v>1054</v>
      </c>
    </row>
    <row r="74" spans="1:13" x14ac:dyDescent="0.4">
      <c r="A74" s="9">
        <v>4</v>
      </c>
      <c r="B74" s="16">
        <v>1</v>
      </c>
      <c r="C74" s="17">
        <v>1</v>
      </c>
      <c r="D74" s="19">
        <v>1</v>
      </c>
      <c r="E74" s="5">
        <v>2.46</v>
      </c>
      <c r="F74" s="5">
        <v>3.1</v>
      </c>
      <c r="G74" s="6">
        <v>22.5</v>
      </c>
      <c r="H74" s="23"/>
      <c r="I74" s="6">
        <v>4.2</v>
      </c>
      <c r="J74" s="6">
        <v>35.200000000000003</v>
      </c>
      <c r="K74" s="6">
        <v>20.83</v>
      </c>
      <c r="L74" s="25"/>
      <c r="M74" s="6">
        <v>689</v>
      </c>
    </row>
    <row r="75" spans="1:13" x14ac:dyDescent="0.4">
      <c r="A75" s="9">
        <v>4</v>
      </c>
      <c r="B75" s="9">
        <v>2</v>
      </c>
      <c r="C75" s="14">
        <v>1</v>
      </c>
      <c r="D75" s="19">
        <v>2</v>
      </c>
      <c r="E75" s="5">
        <v>2.6</v>
      </c>
      <c r="F75" s="5">
        <v>2.2000000000000002</v>
      </c>
      <c r="G75" s="6">
        <v>20.3</v>
      </c>
      <c r="H75" s="23"/>
      <c r="I75" s="26"/>
      <c r="J75" s="6">
        <v>32.200000000000003</v>
      </c>
      <c r="K75" s="6">
        <v>18.2</v>
      </c>
      <c r="L75" s="22"/>
      <c r="M75" s="6">
        <v>820</v>
      </c>
    </row>
    <row r="76" spans="1:13" x14ac:dyDescent="0.4">
      <c r="A76" s="9">
        <v>4</v>
      </c>
      <c r="B76" s="9">
        <v>2</v>
      </c>
      <c r="C76" s="14">
        <v>2</v>
      </c>
      <c r="D76" s="19">
        <v>3</v>
      </c>
      <c r="E76" s="5">
        <v>2.5</v>
      </c>
      <c r="F76" s="5">
        <v>3.1</v>
      </c>
      <c r="G76" s="6">
        <v>20.9</v>
      </c>
      <c r="H76" s="23"/>
      <c r="I76" s="26"/>
      <c r="J76" s="6">
        <v>34.9</v>
      </c>
      <c r="K76" s="6">
        <v>17.399999999999999</v>
      </c>
      <c r="L76" s="22"/>
      <c r="M76" s="6">
        <v>820</v>
      </c>
    </row>
    <row r="77" spans="1:13" x14ac:dyDescent="0.4">
      <c r="A77" s="9">
        <v>4</v>
      </c>
      <c r="B77" s="9">
        <v>2</v>
      </c>
      <c r="C77" s="14">
        <v>3</v>
      </c>
      <c r="D77" s="19">
        <v>4</v>
      </c>
      <c r="E77" s="5">
        <v>1.2</v>
      </c>
      <c r="F77" s="5">
        <v>2.9</v>
      </c>
      <c r="G77" s="6">
        <v>20.100000000000001</v>
      </c>
      <c r="H77" s="23"/>
      <c r="I77" s="26"/>
      <c r="J77" s="6">
        <v>33.4</v>
      </c>
      <c r="K77" s="6">
        <v>16.100000000000001</v>
      </c>
      <c r="L77" s="22"/>
      <c r="M77" s="6">
        <v>820</v>
      </c>
    </row>
    <row r="78" spans="1:13" x14ac:dyDescent="0.4">
      <c r="A78" s="9">
        <v>4</v>
      </c>
      <c r="B78" s="9">
        <v>2</v>
      </c>
      <c r="C78" s="14">
        <v>4</v>
      </c>
      <c r="D78" s="19">
        <v>5</v>
      </c>
      <c r="E78" s="5">
        <v>0.7</v>
      </c>
      <c r="F78" s="5">
        <v>1.4</v>
      </c>
      <c r="G78" s="6">
        <v>22.8</v>
      </c>
      <c r="H78" s="23"/>
      <c r="I78" s="26"/>
      <c r="J78" s="6">
        <v>32.200000000000003</v>
      </c>
      <c r="K78" s="6">
        <v>13.4</v>
      </c>
      <c r="L78" s="22"/>
      <c r="M78" s="6">
        <v>820</v>
      </c>
    </row>
    <row r="79" spans="1:13" x14ac:dyDescent="0.4">
      <c r="A79" s="9">
        <v>4</v>
      </c>
      <c r="B79" s="16">
        <v>3</v>
      </c>
      <c r="C79" s="17">
        <v>1</v>
      </c>
      <c r="D79" s="19">
        <v>6</v>
      </c>
      <c r="E79" s="5">
        <v>3.25</v>
      </c>
      <c r="F79" s="5">
        <v>3.4</v>
      </c>
      <c r="G79" s="6">
        <v>23.1</v>
      </c>
      <c r="H79" s="23"/>
      <c r="I79" s="6">
        <v>4.2</v>
      </c>
      <c r="J79" s="6">
        <v>35.299999999999997</v>
      </c>
      <c r="K79" s="6">
        <v>24.5</v>
      </c>
      <c r="L79" s="25"/>
      <c r="M79" s="6">
        <v>712</v>
      </c>
    </row>
    <row r="80" spans="1:13" x14ac:dyDescent="0.4">
      <c r="A80" s="9">
        <v>4</v>
      </c>
      <c r="B80" s="9">
        <v>4</v>
      </c>
      <c r="C80" s="14">
        <v>1</v>
      </c>
      <c r="D80" s="19">
        <v>7</v>
      </c>
      <c r="E80" s="5">
        <v>3.29</v>
      </c>
      <c r="F80" s="5">
        <v>2.6</v>
      </c>
      <c r="G80" s="6">
        <v>23.23</v>
      </c>
      <c r="H80" s="23"/>
      <c r="I80" s="6">
        <v>4</v>
      </c>
      <c r="J80" s="6">
        <v>36.6</v>
      </c>
      <c r="K80" s="6">
        <v>24.1</v>
      </c>
      <c r="L80" s="25"/>
      <c r="M80" s="6">
        <v>775</v>
      </c>
    </row>
    <row r="81" spans="1:15" x14ac:dyDescent="0.4">
      <c r="A81" s="9">
        <v>4</v>
      </c>
      <c r="B81" s="16">
        <v>5</v>
      </c>
      <c r="C81" s="17">
        <v>1</v>
      </c>
      <c r="D81" s="19">
        <v>8</v>
      </c>
      <c r="E81" s="5">
        <v>2.6</v>
      </c>
      <c r="F81" s="5">
        <v>3.5</v>
      </c>
      <c r="G81" s="6">
        <v>24</v>
      </c>
      <c r="H81" s="23"/>
      <c r="I81" s="6">
        <v>3.9</v>
      </c>
      <c r="J81" s="6">
        <v>35.5</v>
      </c>
      <c r="K81" s="6">
        <v>20.7</v>
      </c>
      <c r="L81" s="25"/>
      <c r="M81" s="6">
        <v>721</v>
      </c>
    </row>
    <row r="82" spans="1:15" x14ac:dyDescent="0.4">
      <c r="A82" s="9">
        <v>4</v>
      </c>
      <c r="B82" s="9">
        <v>6</v>
      </c>
      <c r="C82" s="14">
        <v>1</v>
      </c>
      <c r="D82" s="19">
        <v>9</v>
      </c>
      <c r="E82" s="5">
        <v>3.32</v>
      </c>
      <c r="F82" s="5">
        <v>3.2</v>
      </c>
      <c r="G82" s="6">
        <v>23.7</v>
      </c>
      <c r="H82" s="23"/>
      <c r="I82" s="6">
        <v>3.3</v>
      </c>
      <c r="J82" s="6">
        <v>34.200000000000003</v>
      </c>
      <c r="K82" s="6">
        <v>23.2</v>
      </c>
      <c r="L82" s="25"/>
      <c r="M82" s="6">
        <v>939</v>
      </c>
    </row>
    <row r="83" spans="1:15" x14ac:dyDescent="0.4">
      <c r="A83" s="9">
        <v>4</v>
      </c>
      <c r="B83" s="16">
        <v>7</v>
      </c>
      <c r="C83" s="17">
        <v>1</v>
      </c>
      <c r="D83" s="19">
        <v>10</v>
      </c>
      <c r="E83" s="5">
        <v>3.58</v>
      </c>
      <c r="F83" s="5">
        <v>3.9</v>
      </c>
      <c r="G83" s="6">
        <v>23.5</v>
      </c>
      <c r="H83" s="23"/>
      <c r="I83" s="6">
        <v>3.8</v>
      </c>
      <c r="J83" s="6">
        <v>34.6</v>
      </c>
      <c r="K83" s="6">
        <v>25.9</v>
      </c>
      <c r="L83" s="25"/>
      <c r="M83" s="6">
        <v>915</v>
      </c>
    </row>
    <row r="84" spans="1:15" x14ac:dyDescent="0.4">
      <c r="A84" s="9">
        <v>4</v>
      </c>
      <c r="B84" s="9">
        <v>8</v>
      </c>
      <c r="C84" s="14">
        <v>1</v>
      </c>
      <c r="D84" s="19">
        <v>11</v>
      </c>
      <c r="E84" s="5">
        <v>3.74</v>
      </c>
      <c r="F84" s="5">
        <v>2.6</v>
      </c>
      <c r="G84" s="6">
        <v>23.4</v>
      </c>
      <c r="H84" s="23"/>
      <c r="I84" s="6">
        <v>3.4</v>
      </c>
      <c r="J84" s="6">
        <v>35</v>
      </c>
      <c r="K84" s="6">
        <v>23.2</v>
      </c>
      <c r="L84" s="25"/>
      <c r="M84" s="6">
        <v>948</v>
      </c>
    </row>
    <row r="85" spans="1:15" x14ac:dyDescent="0.4">
      <c r="A85" s="9">
        <v>4</v>
      </c>
      <c r="B85" s="16">
        <v>9</v>
      </c>
      <c r="C85" s="17">
        <v>1</v>
      </c>
      <c r="D85" s="19">
        <v>12</v>
      </c>
      <c r="E85" s="5">
        <v>3.56</v>
      </c>
      <c r="F85" s="5">
        <v>2.5</v>
      </c>
      <c r="G85" s="6">
        <v>23.6</v>
      </c>
      <c r="H85" s="23"/>
      <c r="I85" s="6">
        <v>4.4000000000000004</v>
      </c>
      <c r="J85" s="6">
        <v>33.200000000000003</v>
      </c>
      <c r="K85" s="6">
        <v>21.9</v>
      </c>
      <c r="L85" s="25"/>
      <c r="M85" s="6">
        <v>867</v>
      </c>
    </row>
    <row r="86" spans="1:15" x14ac:dyDescent="0.4">
      <c r="A86" s="9">
        <v>4</v>
      </c>
      <c r="B86" s="9">
        <v>10</v>
      </c>
      <c r="C86" s="14">
        <v>1</v>
      </c>
      <c r="D86" s="19">
        <v>13</v>
      </c>
      <c r="E86" s="5">
        <v>3.43</v>
      </c>
      <c r="F86" s="5">
        <v>2.9</v>
      </c>
      <c r="G86" s="6">
        <v>24.3</v>
      </c>
      <c r="H86" s="23"/>
      <c r="I86" s="6">
        <v>4.0999999999999996</v>
      </c>
      <c r="J86" s="6">
        <v>33.6</v>
      </c>
      <c r="K86" s="6">
        <v>20.5</v>
      </c>
      <c r="L86" s="25"/>
      <c r="M86" s="6">
        <v>599</v>
      </c>
    </row>
    <row r="87" spans="1:15" x14ac:dyDescent="0.4">
      <c r="A87" s="13">
        <v>5</v>
      </c>
      <c r="B87" s="16">
        <v>1</v>
      </c>
      <c r="C87" s="17">
        <v>1</v>
      </c>
      <c r="D87" s="19">
        <v>1</v>
      </c>
      <c r="E87" s="5">
        <v>1.3</v>
      </c>
      <c r="F87" s="5">
        <v>2</v>
      </c>
      <c r="G87" s="6">
        <v>24</v>
      </c>
      <c r="H87" s="23"/>
      <c r="I87" s="6">
        <v>9.3000000000000007</v>
      </c>
      <c r="J87" s="6">
        <v>38.700000000000003</v>
      </c>
      <c r="K87" s="6">
        <v>29.9</v>
      </c>
      <c r="L87" s="25"/>
      <c r="M87" s="6">
        <v>956</v>
      </c>
    </row>
    <row r="88" spans="1:15" x14ac:dyDescent="0.4">
      <c r="A88" s="13">
        <v>5</v>
      </c>
      <c r="B88" s="9">
        <v>2</v>
      </c>
      <c r="C88" s="14">
        <v>1</v>
      </c>
      <c r="D88" s="19">
        <v>2</v>
      </c>
      <c r="E88" s="5">
        <v>0.3</v>
      </c>
      <c r="F88" s="5">
        <v>1.6</v>
      </c>
      <c r="G88" s="6">
        <v>21.2</v>
      </c>
      <c r="H88" s="23"/>
      <c r="I88" s="26"/>
      <c r="J88" s="6">
        <v>35.5</v>
      </c>
      <c r="K88" s="6">
        <v>29.7</v>
      </c>
      <c r="L88" s="22"/>
      <c r="M88" s="6">
        <v>938</v>
      </c>
    </row>
    <row r="89" spans="1:15" x14ac:dyDescent="0.4">
      <c r="A89" s="13">
        <v>5</v>
      </c>
      <c r="B89" s="9">
        <v>2</v>
      </c>
      <c r="C89" s="14">
        <v>2</v>
      </c>
      <c r="D89" s="19">
        <v>3</v>
      </c>
      <c r="E89" s="5">
        <v>0.5</v>
      </c>
      <c r="F89" s="5">
        <v>1.8</v>
      </c>
      <c r="G89" s="6">
        <v>22.5</v>
      </c>
      <c r="H89" s="23"/>
      <c r="I89" s="23"/>
      <c r="J89" s="6">
        <v>39.1</v>
      </c>
      <c r="K89" s="6">
        <v>31.6</v>
      </c>
      <c r="L89" s="22"/>
      <c r="M89" s="6">
        <v>938</v>
      </c>
    </row>
    <row r="90" spans="1:15" x14ac:dyDescent="0.4">
      <c r="A90" s="13">
        <v>5</v>
      </c>
      <c r="B90" s="9">
        <v>2</v>
      </c>
      <c r="C90" s="14">
        <v>3</v>
      </c>
      <c r="D90" s="19">
        <v>4</v>
      </c>
      <c r="E90" s="5">
        <v>0.8</v>
      </c>
      <c r="F90" s="5">
        <v>2.1</v>
      </c>
      <c r="G90" s="6">
        <v>23.5</v>
      </c>
      <c r="H90" s="23"/>
      <c r="I90" s="23"/>
      <c r="J90" s="6">
        <v>36.200000000000003</v>
      </c>
      <c r="K90" s="6">
        <v>28.3</v>
      </c>
      <c r="L90" s="22"/>
      <c r="M90" s="6">
        <v>938</v>
      </c>
    </row>
    <row r="91" spans="1:15" x14ac:dyDescent="0.4">
      <c r="A91" s="13">
        <v>5</v>
      </c>
      <c r="B91" s="9">
        <v>2</v>
      </c>
      <c r="C91" s="14">
        <v>4</v>
      </c>
      <c r="D91" s="19">
        <v>5</v>
      </c>
      <c r="E91" s="5">
        <v>1.5</v>
      </c>
      <c r="F91" s="5">
        <v>2.4</v>
      </c>
      <c r="G91" s="6">
        <v>24.7</v>
      </c>
      <c r="H91" s="23"/>
      <c r="I91" s="23"/>
      <c r="J91" s="6">
        <v>33.1</v>
      </c>
      <c r="K91" s="6">
        <v>24.4</v>
      </c>
      <c r="L91" s="22"/>
      <c r="M91" s="6">
        <v>938</v>
      </c>
    </row>
    <row r="92" spans="1:15" x14ac:dyDescent="0.4">
      <c r="A92" s="13">
        <v>5</v>
      </c>
      <c r="B92" s="9">
        <v>2</v>
      </c>
      <c r="C92" s="14">
        <v>5</v>
      </c>
      <c r="D92" s="19">
        <v>6</v>
      </c>
      <c r="E92" s="5">
        <v>1.2</v>
      </c>
      <c r="F92" s="5">
        <v>2.5</v>
      </c>
      <c r="G92" s="6">
        <v>26.6</v>
      </c>
      <c r="H92" s="23"/>
      <c r="I92" s="23"/>
      <c r="J92" s="6">
        <v>32</v>
      </c>
      <c r="K92" s="6">
        <v>21</v>
      </c>
      <c r="L92" s="22"/>
      <c r="M92" s="6">
        <v>938</v>
      </c>
    </row>
    <row r="93" spans="1:15" x14ac:dyDescent="0.4">
      <c r="A93" s="13">
        <v>5</v>
      </c>
      <c r="B93" s="9">
        <v>2</v>
      </c>
      <c r="C93" s="14">
        <v>6</v>
      </c>
      <c r="D93" s="19">
        <v>7</v>
      </c>
      <c r="E93" s="5">
        <v>5.5</v>
      </c>
      <c r="F93" s="5">
        <v>4.5</v>
      </c>
      <c r="G93" s="6">
        <v>28.5</v>
      </c>
      <c r="H93" s="23"/>
      <c r="I93" s="23"/>
      <c r="J93" s="6">
        <v>34.9</v>
      </c>
      <c r="K93" s="6">
        <v>23.2</v>
      </c>
      <c r="L93" s="22"/>
      <c r="M93" s="6">
        <v>938</v>
      </c>
    </row>
    <row r="94" spans="1:15" x14ac:dyDescent="0.4">
      <c r="A94" s="13">
        <v>5</v>
      </c>
      <c r="B94" s="16">
        <v>3</v>
      </c>
      <c r="C94" s="17">
        <v>1</v>
      </c>
      <c r="D94" s="19">
        <v>8</v>
      </c>
      <c r="E94" s="5">
        <v>1.5</v>
      </c>
      <c r="F94" s="5">
        <v>2.6</v>
      </c>
      <c r="G94" s="6">
        <v>22</v>
      </c>
      <c r="H94" s="23"/>
      <c r="I94" s="6">
        <v>9</v>
      </c>
      <c r="J94" s="6">
        <v>31.1</v>
      </c>
      <c r="K94" s="6">
        <v>28.5</v>
      </c>
      <c r="L94" s="22"/>
      <c r="M94" s="6">
        <v>952</v>
      </c>
    </row>
    <row r="95" spans="1:15" x14ac:dyDescent="0.4">
      <c r="A95" s="13">
        <v>5</v>
      </c>
      <c r="B95" s="9">
        <v>4</v>
      </c>
      <c r="C95" s="14">
        <v>1</v>
      </c>
      <c r="D95" s="19">
        <v>9</v>
      </c>
      <c r="E95" s="5">
        <v>1.2</v>
      </c>
      <c r="F95" s="5">
        <v>2.5</v>
      </c>
      <c r="G95" s="6">
        <v>23.4</v>
      </c>
      <c r="H95" s="23"/>
      <c r="I95" s="6">
        <v>7.4</v>
      </c>
      <c r="J95" s="6">
        <v>29.7</v>
      </c>
      <c r="K95" s="6">
        <v>29.5</v>
      </c>
      <c r="L95" s="22"/>
      <c r="M95" s="6">
        <v>938</v>
      </c>
    </row>
    <row r="96" spans="1:15" x14ac:dyDescent="0.4">
      <c r="A96" s="20">
        <v>4</v>
      </c>
      <c r="B96" s="16">
        <v>1</v>
      </c>
      <c r="C96" s="17">
        <v>1</v>
      </c>
      <c r="D96" s="10">
        <v>1</v>
      </c>
      <c r="E96" s="11">
        <v>6.9</v>
      </c>
      <c r="F96" s="11">
        <v>3.93</v>
      </c>
      <c r="G96" s="12">
        <v>27.8</v>
      </c>
      <c r="H96" s="22"/>
      <c r="I96" s="12">
        <v>6.1</v>
      </c>
      <c r="J96" s="12">
        <v>37.6</v>
      </c>
      <c r="K96" s="12">
        <v>25.7</v>
      </c>
      <c r="L96" s="22"/>
      <c r="M96" s="12">
        <v>457</v>
      </c>
      <c r="O96" s="21"/>
    </row>
    <row r="97" spans="1:16" x14ac:dyDescent="0.4">
      <c r="A97" s="20">
        <v>4</v>
      </c>
      <c r="B97" s="9">
        <v>2</v>
      </c>
      <c r="C97" s="9">
        <v>1</v>
      </c>
      <c r="D97" s="10">
        <v>8</v>
      </c>
      <c r="E97" s="11">
        <v>0.8</v>
      </c>
      <c r="F97" s="11">
        <v>2.2999999999999998</v>
      </c>
      <c r="G97" s="12">
        <v>24.5</v>
      </c>
      <c r="H97" s="22"/>
      <c r="I97" s="27"/>
      <c r="J97" s="12">
        <v>36.200000000000003</v>
      </c>
      <c r="K97" s="12">
        <v>26.7</v>
      </c>
      <c r="L97" s="22"/>
      <c r="M97" s="12">
        <v>505</v>
      </c>
      <c r="P97" s="21"/>
    </row>
    <row r="98" spans="1:16" x14ac:dyDescent="0.4">
      <c r="A98" s="20">
        <v>4</v>
      </c>
      <c r="B98" s="9">
        <v>2</v>
      </c>
      <c r="C98" s="9">
        <v>2</v>
      </c>
      <c r="D98" s="10">
        <v>9</v>
      </c>
      <c r="E98" s="11">
        <v>5.3</v>
      </c>
      <c r="F98" s="11">
        <v>3</v>
      </c>
      <c r="G98" s="12">
        <v>23.5</v>
      </c>
      <c r="H98" s="22"/>
      <c r="I98" s="22"/>
      <c r="J98" s="12">
        <v>36.5</v>
      </c>
      <c r="K98" s="12">
        <v>26.8</v>
      </c>
      <c r="L98" s="22"/>
      <c r="M98" s="12">
        <v>505</v>
      </c>
    </row>
    <row r="99" spans="1:16" x14ac:dyDescent="0.4">
      <c r="A99" s="20">
        <v>4</v>
      </c>
      <c r="B99" s="9">
        <v>2</v>
      </c>
      <c r="C99" s="9">
        <v>3</v>
      </c>
      <c r="D99" s="10">
        <v>10</v>
      </c>
      <c r="E99" s="11">
        <v>3.8</v>
      </c>
      <c r="F99" s="11">
        <v>3.5</v>
      </c>
      <c r="G99" s="12">
        <v>24.8</v>
      </c>
      <c r="H99" s="22"/>
      <c r="I99" s="22"/>
      <c r="J99" s="12">
        <v>37.1</v>
      </c>
      <c r="K99" s="12">
        <v>25.9</v>
      </c>
      <c r="L99" s="22"/>
      <c r="M99" s="12">
        <v>505</v>
      </c>
    </row>
    <row r="100" spans="1:16" x14ac:dyDescent="0.4">
      <c r="A100" s="20">
        <v>4</v>
      </c>
      <c r="B100" s="9">
        <v>2</v>
      </c>
      <c r="C100" s="9">
        <v>4</v>
      </c>
      <c r="D100" s="10">
        <v>11</v>
      </c>
      <c r="E100" s="11">
        <v>5.7</v>
      </c>
      <c r="F100" s="11">
        <v>3.9</v>
      </c>
      <c r="G100" s="12">
        <v>24.5</v>
      </c>
      <c r="H100" s="22"/>
      <c r="I100" s="22"/>
      <c r="J100" s="12">
        <v>36.799999999999997</v>
      </c>
      <c r="K100" s="12">
        <v>23.6</v>
      </c>
      <c r="L100" s="22"/>
      <c r="M100" s="12">
        <v>505</v>
      </c>
    </row>
    <row r="101" spans="1:16" x14ac:dyDescent="0.4">
      <c r="A101" s="20">
        <v>4</v>
      </c>
      <c r="B101" s="9">
        <v>2</v>
      </c>
      <c r="C101" s="9">
        <v>5</v>
      </c>
      <c r="D101" s="10">
        <v>12</v>
      </c>
      <c r="E101" s="11">
        <v>6</v>
      </c>
      <c r="F101" s="11">
        <v>4</v>
      </c>
      <c r="G101" s="12">
        <v>24.7</v>
      </c>
      <c r="H101" s="22"/>
      <c r="I101" s="22"/>
      <c r="J101" s="12">
        <v>36.6</v>
      </c>
      <c r="K101" s="12">
        <v>22.8</v>
      </c>
      <c r="L101" s="22"/>
      <c r="M101" s="12">
        <v>505</v>
      </c>
    </row>
    <row r="102" spans="1:16" x14ac:dyDescent="0.4">
      <c r="A102" s="20">
        <v>4</v>
      </c>
      <c r="B102" s="16">
        <v>3</v>
      </c>
      <c r="C102" s="17">
        <v>1</v>
      </c>
      <c r="D102" s="10">
        <v>13</v>
      </c>
      <c r="E102" s="11">
        <v>1.6</v>
      </c>
      <c r="F102" s="11">
        <v>2.2000000000000002</v>
      </c>
      <c r="G102" s="12">
        <v>24.6</v>
      </c>
      <c r="H102" s="22"/>
      <c r="I102" s="12">
        <v>5.2</v>
      </c>
      <c r="J102" s="12">
        <v>32</v>
      </c>
      <c r="K102" s="12">
        <v>25.1</v>
      </c>
      <c r="L102" s="22"/>
      <c r="M102" s="12">
        <v>422</v>
      </c>
    </row>
    <row r="103" spans="1:16" x14ac:dyDescent="0.4">
      <c r="A103" s="20">
        <v>4</v>
      </c>
      <c r="B103" s="9">
        <v>4</v>
      </c>
      <c r="C103" s="14">
        <v>1</v>
      </c>
      <c r="D103" s="10">
        <v>20</v>
      </c>
      <c r="E103" s="11">
        <v>1.7</v>
      </c>
      <c r="F103" s="11">
        <v>1.9</v>
      </c>
      <c r="G103" s="12">
        <v>23.7</v>
      </c>
      <c r="H103" s="22"/>
      <c r="I103" s="12">
        <v>4</v>
      </c>
      <c r="J103" s="12">
        <v>25</v>
      </c>
      <c r="K103" s="12">
        <v>37.5</v>
      </c>
      <c r="L103" s="22"/>
      <c r="M103" s="12">
        <v>610</v>
      </c>
    </row>
    <row r="104" spans="1:16" x14ac:dyDescent="0.4">
      <c r="A104" s="20">
        <v>4</v>
      </c>
      <c r="B104" s="16">
        <v>5</v>
      </c>
      <c r="C104" s="17">
        <v>1</v>
      </c>
      <c r="D104" s="10">
        <v>22</v>
      </c>
      <c r="E104" s="11">
        <v>3.6</v>
      </c>
      <c r="F104" s="11">
        <v>2.6</v>
      </c>
      <c r="G104" s="12">
        <v>24.5</v>
      </c>
      <c r="H104" s="22"/>
      <c r="I104" s="12">
        <v>3.7</v>
      </c>
      <c r="J104" s="12">
        <v>32.1</v>
      </c>
      <c r="K104" s="12">
        <v>28.1</v>
      </c>
      <c r="L104" s="22"/>
      <c r="M104" s="12">
        <v>549</v>
      </c>
    </row>
    <row r="105" spans="1:16" x14ac:dyDescent="0.4">
      <c r="A105" s="20">
        <v>4</v>
      </c>
      <c r="B105" s="9">
        <v>6</v>
      </c>
      <c r="C105" s="14">
        <v>1</v>
      </c>
      <c r="D105" s="10">
        <v>27</v>
      </c>
      <c r="E105" s="11">
        <v>5.56</v>
      </c>
      <c r="F105" s="11">
        <v>3.11</v>
      </c>
      <c r="G105" s="12">
        <v>25.4</v>
      </c>
      <c r="H105" s="22"/>
      <c r="I105" s="12">
        <v>4.8</v>
      </c>
      <c r="J105" s="12">
        <v>37</v>
      </c>
      <c r="K105" s="12">
        <v>27.11</v>
      </c>
      <c r="L105" s="22"/>
      <c r="M105" s="12">
        <v>401</v>
      </c>
    </row>
    <row r="106" spans="1:16" x14ac:dyDescent="0.4">
      <c r="A106" s="20">
        <v>4</v>
      </c>
      <c r="B106" s="16">
        <v>7</v>
      </c>
      <c r="C106" s="17">
        <v>1</v>
      </c>
      <c r="D106" s="10">
        <v>34</v>
      </c>
      <c r="E106" s="11">
        <v>6.16</v>
      </c>
      <c r="F106" s="11">
        <v>3.56</v>
      </c>
      <c r="G106" s="12">
        <v>26.5</v>
      </c>
      <c r="H106" s="22"/>
      <c r="I106" s="12">
        <v>4.3</v>
      </c>
      <c r="J106" s="12">
        <v>35</v>
      </c>
      <c r="K106" s="12">
        <v>21.6</v>
      </c>
      <c r="L106" s="22"/>
      <c r="M106" s="12">
        <v>401</v>
      </c>
    </row>
    <row r="107" spans="1:16" x14ac:dyDescent="0.4">
      <c r="A107" s="20">
        <v>4</v>
      </c>
      <c r="B107" s="9">
        <v>8</v>
      </c>
      <c r="C107" s="14">
        <v>1</v>
      </c>
      <c r="D107" s="10">
        <v>39</v>
      </c>
      <c r="E107" s="11">
        <v>4.72</v>
      </c>
      <c r="F107" s="11">
        <v>4</v>
      </c>
      <c r="G107" s="12">
        <v>26</v>
      </c>
      <c r="H107" s="22"/>
      <c r="I107" s="12">
        <v>3.3</v>
      </c>
      <c r="J107" s="12">
        <v>37</v>
      </c>
      <c r="K107" s="12">
        <v>27.6</v>
      </c>
      <c r="L107" s="22"/>
      <c r="M107" s="12">
        <v>396</v>
      </c>
    </row>
    <row r="108" spans="1:16" x14ac:dyDescent="0.4">
      <c r="A108" s="20">
        <v>4</v>
      </c>
      <c r="B108" s="16">
        <v>9</v>
      </c>
      <c r="C108" s="17">
        <v>1</v>
      </c>
      <c r="D108" s="10">
        <v>45</v>
      </c>
      <c r="E108" s="11">
        <v>5.79</v>
      </c>
      <c r="F108" s="11">
        <v>3.2</v>
      </c>
      <c r="G108" s="12">
        <v>26.4</v>
      </c>
      <c r="H108" s="22"/>
      <c r="I108" s="12">
        <v>3.1</v>
      </c>
      <c r="J108" s="12">
        <v>37.6</v>
      </c>
      <c r="K108" s="12">
        <v>25.3</v>
      </c>
      <c r="L108" s="22"/>
      <c r="M108" s="12">
        <v>384</v>
      </c>
    </row>
    <row r="109" spans="1:16" x14ac:dyDescent="0.4">
      <c r="A109" s="20">
        <v>4</v>
      </c>
      <c r="B109" s="9">
        <v>10</v>
      </c>
      <c r="C109" s="14">
        <v>1</v>
      </c>
      <c r="D109" s="10">
        <v>51</v>
      </c>
      <c r="E109" s="11">
        <v>3.92</v>
      </c>
      <c r="F109" s="11">
        <v>2.2999999999999998</v>
      </c>
      <c r="G109" s="12">
        <v>26</v>
      </c>
      <c r="H109" s="22"/>
      <c r="I109" s="12">
        <v>3.8</v>
      </c>
      <c r="J109" s="12">
        <v>35.299999999999997</v>
      </c>
      <c r="K109" s="12">
        <v>27.3</v>
      </c>
      <c r="L109" s="22"/>
      <c r="M109" s="12">
        <v>443</v>
      </c>
    </row>
    <row r="110" spans="1:16" x14ac:dyDescent="0.4">
      <c r="A110" s="13">
        <v>5</v>
      </c>
      <c r="B110" s="16">
        <v>1</v>
      </c>
      <c r="C110" s="17">
        <v>1</v>
      </c>
      <c r="D110" s="10">
        <v>1</v>
      </c>
      <c r="E110" s="11">
        <v>5.5</v>
      </c>
      <c r="F110" s="11">
        <v>3.8</v>
      </c>
      <c r="G110" s="12">
        <v>21.2</v>
      </c>
      <c r="H110" s="22"/>
      <c r="I110" s="12">
        <v>4.4000000000000004</v>
      </c>
      <c r="J110" s="12">
        <v>32.9</v>
      </c>
      <c r="K110" s="12">
        <v>25.4</v>
      </c>
      <c r="L110" s="22"/>
      <c r="M110" s="12">
        <v>745</v>
      </c>
    </row>
    <row r="111" spans="1:16" x14ac:dyDescent="0.4">
      <c r="A111" s="13">
        <v>5</v>
      </c>
      <c r="B111" s="9">
        <v>2</v>
      </c>
      <c r="C111" s="9">
        <v>1</v>
      </c>
      <c r="D111" s="10">
        <v>2</v>
      </c>
      <c r="E111" s="11">
        <v>1.7</v>
      </c>
      <c r="F111" s="11">
        <v>2</v>
      </c>
      <c r="G111" s="12">
        <v>16.5</v>
      </c>
      <c r="H111" s="22"/>
      <c r="I111" s="22"/>
      <c r="J111" s="12">
        <v>31.3</v>
      </c>
      <c r="K111" s="12">
        <v>20.9</v>
      </c>
      <c r="L111" s="22"/>
      <c r="M111" s="12">
        <v>558</v>
      </c>
      <c r="P111" s="21"/>
    </row>
    <row r="112" spans="1:16" x14ac:dyDescent="0.4">
      <c r="A112" s="13">
        <v>5</v>
      </c>
      <c r="B112" s="9">
        <v>2</v>
      </c>
      <c r="C112" s="9">
        <v>2</v>
      </c>
      <c r="D112" s="10">
        <v>3</v>
      </c>
      <c r="E112" s="11">
        <v>1.1000000000000001</v>
      </c>
      <c r="F112" s="11">
        <v>2.4</v>
      </c>
      <c r="G112" s="12">
        <v>17.8</v>
      </c>
      <c r="H112" s="22"/>
      <c r="I112" s="22"/>
      <c r="J112" s="12">
        <v>31.4</v>
      </c>
      <c r="K112" s="12">
        <v>20.2</v>
      </c>
      <c r="L112" s="22"/>
      <c r="M112" s="12">
        <v>558</v>
      </c>
    </row>
    <row r="113" spans="1:13" x14ac:dyDescent="0.4">
      <c r="A113" s="13">
        <v>5</v>
      </c>
      <c r="B113" s="9">
        <v>2</v>
      </c>
      <c r="C113" s="9">
        <v>3</v>
      </c>
      <c r="D113" s="10">
        <v>4</v>
      </c>
      <c r="E113" s="11">
        <v>0.9</v>
      </c>
      <c r="F113" s="11">
        <v>2.1</v>
      </c>
      <c r="G113" s="12">
        <v>17.5</v>
      </c>
      <c r="H113" s="22"/>
      <c r="I113" s="22"/>
      <c r="J113" s="12">
        <v>31.3</v>
      </c>
      <c r="K113" s="12">
        <v>18.5</v>
      </c>
      <c r="L113" s="22"/>
      <c r="M113" s="12">
        <v>558</v>
      </c>
    </row>
    <row r="114" spans="1:13" x14ac:dyDescent="0.4">
      <c r="A114" s="13">
        <v>5</v>
      </c>
      <c r="B114" s="9">
        <v>2</v>
      </c>
      <c r="C114" s="9">
        <v>4</v>
      </c>
      <c r="D114" s="10">
        <v>5</v>
      </c>
      <c r="E114" s="11">
        <v>2.5</v>
      </c>
      <c r="F114" s="11">
        <v>2.7</v>
      </c>
      <c r="G114" s="12">
        <v>17.899999999999999</v>
      </c>
      <c r="H114" s="22"/>
      <c r="I114" s="22"/>
      <c r="J114" s="12">
        <v>31.1</v>
      </c>
      <c r="K114" s="12">
        <v>16.7</v>
      </c>
      <c r="L114" s="22"/>
      <c r="M114" s="12">
        <v>558</v>
      </c>
    </row>
    <row r="115" spans="1:13" x14ac:dyDescent="0.4">
      <c r="A115" s="13">
        <v>5</v>
      </c>
      <c r="B115" s="9">
        <v>2</v>
      </c>
      <c r="C115" s="9">
        <v>5</v>
      </c>
      <c r="D115" s="10">
        <v>6</v>
      </c>
      <c r="E115" s="11">
        <v>2.9</v>
      </c>
      <c r="F115" s="11">
        <v>3.1</v>
      </c>
      <c r="G115" s="12">
        <v>18.399999999999999</v>
      </c>
      <c r="H115" s="22"/>
      <c r="I115" s="22"/>
      <c r="J115" s="12">
        <v>32.6</v>
      </c>
      <c r="K115" s="12">
        <v>16.600000000000001</v>
      </c>
      <c r="L115" s="22"/>
      <c r="M115" s="12">
        <v>558</v>
      </c>
    </row>
    <row r="116" spans="1:13" x14ac:dyDescent="0.4">
      <c r="A116" s="13">
        <v>5</v>
      </c>
      <c r="B116" s="16">
        <v>3</v>
      </c>
      <c r="C116" s="17">
        <v>1</v>
      </c>
      <c r="D116" s="10">
        <v>7</v>
      </c>
      <c r="E116" s="11">
        <v>4</v>
      </c>
      <c r="F116" s="11">
        <v>3.5</v>
      </c>
      <c r="G116" s="12">
        <v>20.6</v>
      </c>
      <c r="H116" s="22"/>
      <c r="I116" s="12">
        <v>3.3</v>
      </c>
      <c r="J116" s="12">
        <v>35.5</v>
      </c>
      <c r="K116" s="12">
        <v>24.3</v>
      </c>
      <c r="L116" s="22"/>
      <c r="M116" s="12">
        <v>677</v>
      </c>
    </row>
    <row r="117" spans="1:13" x14ac:dyDescent="0.4">
      <c r="A117" s="13">
        <v>5</v>
      </c>
      <c r="B117" s="9">
        <v>4</v>
      </c>
      <c r="C117" s="14">
        <v>1</v>
      </c>
      <c r="D117" s="10">
        <v>8</v>
      </c>
      <c r="E117" s="11">
        <v>3.4</v>
      </c>
      <c r="F117" s="11">
        <v>2.8</v>
      </c>
      <c r="G117" s="12">
        <v>20.2</v>
      </c>
      <c r="H117" s="22"/>
      <c r="I117" s="12">
        <v>2.1</v>
      </c>
      <c r="J117" s="12">
        <v>33.799999999999997</v>
      </c>
      <c r="K117" s="12">
        <v>18.8</v>
      </c>
      <c r="L117" s="22"/>
      <c r="M117" s="12">
        <v>470</v>
      </c>
    </row>
    <row r="118" spans="1:13" x14ac:dyDescent="0.4">
      <c r="A118" s="13">
        <v>5</v>
      </c>
      <c r="B118" s="16">
        <v>5</v>
      </c>
      <c r="C118" s="17">
        <v>1</v>
      </c>
      <c r="D118" s="10">
        <v>9</v>
      </c>
      <c r="E118" s="11">
        <v>5.7</v>
      </c>
      <c r="F118" s="11">
        <v>4.5999999999999996</v>
      </c>
      <c r="G118" s="12">
        <v>20.7</v>
      </c>
      <c r="H118" s="22"/>
      <c r="I118" s="12">
        <v>2.7</v>
      </c>
      <c r="J118" s="12">
        <v>33.5</v>
      </c>
      <c r="K118" s="12">
        <v>18.7</v>
      </c>
      <c r="L118" s="22"/>
      <c r="M118" s="12">
        <v>420</v>
      </c>
    </row>
    <row r="119" spans="1:13" x14ac:dyDescent="0.4">
      <c r="A119" s="13">
        <v>5</v>
      </c>
      <c r="B119" s="9">
        <v>6</v>
      </c>
      <c r="C119" s="14">
        <v>1</v>
      </c>
      <c r="D119" s="10">
        <v>10</v>
      </c>
      <c r="E119" s="11">
        <v>5.5</v>
      </c>
      <c r="F119" s="11">
        <v>3.5</v>
      </c>
      <c r="G119" s="12">
        <v>21.7</v>
      </c>
      <c r="H119" s="22"/>
      <c r="I119" s="12">
        <v>2</v>
      </c>
      <c r="J119" s="12">
        <v>34.799999999999997</v>
      </c>
      <c r="K119" s="12">
        <v>15</v>
      </c>
      <c r="L119" s="22"/>
      <c r="M119" s="12">
        <v>441</v>
      </c>
    </row>
    <row r="120" spans="1:13" x14ac:dyDescent="0.4">
      <c r="A120" s="13">
        <v>5</v>
      </c>
      <c r="B120" s="16">
        <v>7</v>
      </c>
      <c r="C120" s="17">
        <v>1</v>
      </c>
      <c r="D120" s="10">
        <v>11</v>
      </c>
      <c r="E120" s="11">
        <v>5.4</v>
      </c>
      <c r="F120" s="11">
        <v>4.7</v>
      </c>
      <c r="G120" s="12">
        <v>21.3</v>
      </c>
      <c r="H120" s="22"/>
      <c r="I120" s="12">
        <v>3.3</v>
      </c>
      <c r="J120" s="12">
        <v>33.9</v>
      </c>
      <c r="K120" s="12">
        <v>20.5</v>
      </c>
      <c r="L120" s="22"/>
      <c r="M120" s="12">
        <v>677</v>
      </c>
    </row>
    <row r="121" spans="1:13" x14ac:dyDescent="0.4">
      <c r="A121" s="13">
        <v>5</v>
      </c>
      <c r="B121" s="9">
        <v>8</v>
      </c>
      <c r="C121" s="14">
        <v>1</v>
      </c>
      <c r="D121" s="10">
        <v>12</v>
      </c>
      <c r="E121" s="11">
        <v>2.5</v>
      </c>
      <c r="F121" s="11">
        <v>3.3</v>
      </c>
      <c r="G121" s="12">
        <v>20.100000000000001</v>
      </c>
      <c r="H121" s="22"/>
      <c r="I121" s="12">
        <v>2.9</v>
      </c>
      <c r="J121" s="12">
        <v>31.9</v>
      </c>
      <c r="K121" s="12">
        <v>19</v>
      </c>
      <c r="L121" s="22"/>
      <c r="M121" s="12">
        <v>582</v>
      </c>
    </row>
    <row r="122" spans="1:13" x14ac:dyDescent="0.4">
      <c r="A122" s="13">
        <v>5</v>
      </c>
      <c r="B122" s="16">
        <v>9</v>
      </c>
      <c r="C122" s="17">
        <v>1</v>
      </c>
      <c r="D122" s="10">
        <v>13</v>
      </c>
      <c r="E122" s="11">
        <v>2.7</v>
      </c>
      <c r="F122" s="11">
        <v>3.5</v>
      </c>
      <c r="G122" s="12">
        <v>19.7</v>
      </c>
      <c r="H122" s="22"/>
      <c r="I122" s="12">
        <v>2.6</v>
      </c>
      <c r="J122" s="12">
        <v>35.1</v>
      </c>
      <c r="K122" s="12">
        <v>23.2</v>
      </c>
      <c r="L122" s="22"/>
      <c r="M122" s="12">
        <v>670</v>
      </c>
    </row>
    <row r="123" spans="1:13" x14ac:dyDescent="0.4">
      <c r="A123" s="13">
        <v>5</v>
      </c>
      <c r="B123" s="9">
        <v>10</v>
      </c>
      <c r="C123" s="14">
        <v>1</v>
      </c>
      <c r="D123" s="10">
        <v>14</v>
      </c>
      <c r="E123" s="11">
        <v>3.3</v>
      </c>
      <c r="F123" s="11">
        <v>3.3</v>
      </c>
      <c r="G123" s="12">
        <v>18.2</v>
      </c>
      <c r="H123" s="22"/>
      <c r="I123" s="12">
        <v>3.4</v>
      </c>
      <c r="J123" s="12">
        <v>33.299999999999997</v>
      </c>
      <c r="K123" s="12">
        <v>16.5</v>
      </c>
      <c r="L123" s="22"/>
      <c r="M123" s="12">
        <v>461</v>
      </c>
    </row>
    <row r="124" spans="1:13" x14ac:dyDescent="0.4">
      <c r="A124" s="20">
        <v>6</v>
      </c>
      <c r="B124" s="16">
        <v>1</v>
      </c>
      <c r="C124" s="17">
        <v>2</v>
      </c>
      <c r="D124" s="10">
        <v>1</v>
      </c>
      <c r="E124" s="5">
        <v>1.9</v>
      </c>
      <c r="F124" s="5">
        <v>2.2000000000000002</v>
      </c>
      <c r="G124" s="6">
        <v>24</v>
      </c>
      <c r="H124" s="22"/>
      <c r="I124" s="6">
        <v>4.3</v>
      </c>
      <c r="J124" s="6">
        <v>27.2</v>
      </c>
      <c r="K124" s="6">
        <v>23.5</v>
      </c>
      <c r="L124" s="22"/>
      <c r="M124" s="6">
        <v>1281</v>
      </c>
    </row>
    <row r="125" spans="1:13" x14ac:dyDescent="0.4">
      <c r="A125" s="20">
        <v>6</v>
      </c>
      <c r="B125" s="9">
        <v>2</v>
      </c>
      <c r="C125" s="14">
        <v>1</v>
      </c>
      <c r="D125" s="10">
        <v>2</v>
      </c>
      <c r="E125" s="5">
        <v>2.8</v>
      </c>
      <c r="F125" s="5">
        <v>2.2999999999999998</v>
      </c>
      <c r="G125" s="6">
        <v>23.1</v>
      </c>
      <c r="H125" s="22"/>
      <c r="I125" s="6">
        <v>5</v>
      </c>
      <c r="J125" s="6">
        <v>26.9</v>
      </c>
      <c r="K125" s="6">
        <v>24.2</v>
      </c>
      <c r="L125" s="22"/>
      <c r="M125" s="6">
        <v>947</v>
      </c>
    </row>
    <row r="126" spans="1:13" x14ac:dyDescent="0.4">
      <c r="A126" s="20">
        <v>6</v>
      </c>
      <c r="B126" s="9">
        <v>2</v>
      </c>
      <c r="C126" s="14">
        <v>2</v>
      </c>
      <c r="D126" s="10">
        <v>3</v>
      </c>
      <c r="E126" s="5">
        <v>1.6</v>
      </c>
      <c r="F126" s="5">
        <v>1.9</v>
      </c>
      <c r="G126" s="6">
        <v>22.6</v>
      </c>
      <c r="H126" s="22"/>
      <c r="I126" s="28"/>
      <c r="J126" s="6">
        <v>23.1</v>
      </c>
      <c r="K126" s="6">
        <v>22.6</v>
      </c>
      <c r="L126" s="22"/>
      <c r="M126" s="6">
        <v>947</v>
      </c>
    </row>
    <row r="127" spans="1:13" x14ac:dyDescent="0.4">
      <c r="A127" s="20">
        <v>6</v>
      </c>
      <c r="B127" s="9">
        <v>2</v>
      </c>
      <c r="C127" s="14">
        <v>3</v>
      </c>
      <c r="D127" s="10">
        <v>4</v>
      </c>
      <c r="E127" s="5">
        <v>1.3</v>
      </c>
      <c r="F127" s="5">
        <v>1.3</v>
      </c>
      <c r="G127" s="6">
        <v>24.2</v>
      </c>
      <c r="H127" s="22"/>
      <c r="I127" s="28"/>
      <c r="J127" s="6">
        <v>25.2</v>
      </c>
      <c r="K127" s="6">
        <v>20.9</v>
      </c>
      <c r="L127" s="22"/>
      <c r="M127" s="6">
        <v>947</v>
      </c>
    </row>
    <row r="128" spans="1:13" x14ac:dyDescent="0.4">
      <c r="A128" s="20">
        <v>6</v>
      </c>
      <c r="B128" s="16">
        <v>3</v>
      </c>
      <c r="C128" s="17">
        <v>2</v>
      </c>
      <c r="D128" s="10">
        <v>5</v>
      </c>
      <c r="E128" s="5">
        <v>0.2</v>
      </c>
      <c r="F128" s="5">
        <v>1.9</v>
      </c>
      <c r="G128" s="6">
        <v>20.100000000000001</v>
      </c>
      <c r="H128" s="22"/>
      <c r="I128" s="6">
        <v>6</v>
      </c>
      <c r="J128" s="6">
        <v>26.4</v>
      </c>
      <c r="K128" s="6">
        <v>20</v>
      </c>
      <c r="L128" s="22"/>
      <c r="M128" s="6">
        <v>1050</v>
      </c>
    </row>
    <row r="129" spans="1:15" x14ac:dyDescent="0.4">
      <c r="A129" s="20">
        <v>6</v>
      </c>
      <c r="B129" s="9">
        <v>4</v>
      </c>
      <c r="C129" s="14">
        <v>1</v>
      </c>
      <c r="D129" s="10">
        <v>6</v>
      </c>
      <c r="E129" s="5">
        <v>4.5999999999999996</v>
      </c>
      <c r="F129" s="5">
        <v>2.2000000000000002</v>
      </c>
      <c r="G129" s="6">
        <v>21.1</v>
      </c>
      <c r="H129" s="22"/>
      <c r="I129" s="6">
        <v>5.2</v>
      </c>
      <c r="J129" s="6">
        <v>26.8</v>
      </c>
      <c r="K129" s="6">
        <v>20.399999999999999</v>
      </c>
      <c r="L129" s="22"/>
      <c r="M129" s="6">
        <v>1123</v>
      </c>
    </row>
    <row r="130" spans="1:15" x14ac:dyDescent="0.4">
      <c r="A130" s="20">
        <v>6</v>
      </c>
      <c r="B130" s="16">
        <v>5</v>
      </c>
      <c r="C130" s="17">
        <v>1</v>
      </c>
      <c r="D130" s="10">
        <v>7</v>
      </c>
      <c r="E130" s="5">
        <v>3.2</v>
      </c>
      <c r="F130" s="5">
        <v>1.8</v>
      </c>
      <c r="G130" s="6">
        <v>24.5</v>
      </c>
      <c r="H130" s="22"/>
      <c r="I130" s="6">
        <v>7.8</v>
      </c>
      <c r="J130" s="6">
        <v>28.6</v>
      </c>
      <c r="K130" s="6">
        <v>25.8</v>
      </c>
      <c r="L130" s="22"/>
      <c r="M130" s="6">
        <v>699</v>
      </c>
    </row>
    <row r="131" spans="1:15" x14ac:dyDescent="0.4">
      <c r="A131" s="20">
        <v>6</v>
      </c>
      <c r="B131" s="9">
        <v>6</v>
      </c>
      <c r="C131" s="14">
        <v>1</v>
      </c>
      <c r="D131" s="10">
        <v>8</v>
      </c>
      <c r="E131" s="5">
        <v>4.5999999999999996</v>
      </c>
      <c r="F131" s="5">
        <v>1.6</v>
      </c>
      <c r="G131" s="6">
        <v>24.3</v>
      </c>
      <c r="H131" s="22"/>
      <c r="I131" s="6">
        <v>5.5</v>
      </c>
      <c r="J131" s="6">
        <v>25.7</v>
      </c>
      <c r="K131" s="6">
        <v>23.3</v>
      </c>
      <c r="L131" s="22"/>
      <c r="M131" s="6">
        <v>1011</v>
      </c>
    </row>
    <row r="132" spans="1:15" x14ac:dyDescent="0.4">
      <c r="A132" s="20">
        <v>6</v>
      </c>
      <c r="B132" s="16">
        <v>7</v>
      </c>
      <c r="C132" s="17">
        <v>2</v>
      </c>
      <c r="D132" s="10">
        <v>9</v>
      </c>
      <c r="E132" s="5">
        <v>0.4</v>
      </c>
      <c r="F132" s="5">
        <v>1.9</v>
      </c>
      <c r="G132" s="6">
        <v>21.1</v>
      </c>
      <c r="H132" s="22"/>
      <c r="I132" s="6">
        <v>6.4</v>
      </c>
      <c r="J132" s="6">
        <v>28.3</v>
      </c>
      <c r="K132" s="6">
        <v>20.9</v>
      </c>
      <c r="L132" s="22"/>
      <c r="M132" s="6">
        <v>989</v>
      </c>
    </row>
    <row r="133" spans="1:15" x14ac:dyDescent="0.4">
      <c r="A133" s="20">
        <v>6</v>
      </c>
      <c r="B133" s="9">
        <v>8</v>
      </c>
      <c r="C133" s="14">
        <v>1</v>
      </c>
      <c r="D133" s="10">
        <v>10</v>
      </c>
      <c r="E133" s="5">
        <v>4.3</v>
      </c>
      <c r="F133" s="5">
        <v>1.9</v>
      </c>
      <c r="G133" s="6">
        <v>21.1</v>
      </c>
      <c r="H133" s="22"/>
      <c r="I133" s="6">
        <v>7.9</v>
      </c>
      <c r="J133" s="6">
        <v>24.2</v>
      </c>
      <c r="K133" s="6">
        <v>22.1</v>
      </c>
      <c r="L133" s="22"/>
      <c r="M133" s="6">
        <v>1209</v>
      </c>
    </row>
    <row r="134" spans="1:15" x14ac:dyDescent="0.4">
      <c r="A134" s="20">
        <v>6</v>
      </c>
      <c r="B134" s="16">
        <v>9</v>
      </c>
      <c r="C134" s="17">
        <v>2</v>
      </c>
      <c r="D134" s="10">
        <v>11</v>
      </c>
      <c r="E134" s="5">
        <v>1.9</v>
      </c>
      <c r="F134" s="5">
        <v>1.8</v>
      </c>
      <c r="G134" s="6">
        <v>22.4</v>
      </c>
      <c r="H134" s="22"/>
      <c r="I134" s="6">
        <v>5.8</v>
      </c>
      <c r="J134" s="6">
        <v>26.1</v>
      </c>
      <c r="K134" s="6">
        <v>22.2</v>
      </c>
      <c r="L134" s="22"/>
      <c r="M134" s="6">
        <v>989</v>
      </c>
    </row>
    <row r="135" spans="1:15" x14ac:dyDescent="0.4">
      <c r="A135" s="20">
        <v>6</v>
      </c>
      <c r="B135" s="9">
        <v>10</v>
      </c>
      <c r="C135" s="14">
        <v>1</v>
      </c>
      <c r="D135" s="10">
        <v>12</v>
      </c>
      <c r="E135" s="5">
        <v>1.2</v>
      </c>
      <c r="F135" s="5">
        <v>2</v>
      </c>
      <c r="G135" s="6">
        <v>20.8</v>
      </c>
      <c r="H135" s="22"/>
      <c r="I135" s="6">
        <v>6.9</v>
      </c>
      <c r="J135" s="6">
        <v>26</v>
      </c>
      <c r="K135" s="6">
        <v>24.4</v>
      </c>
      <c r="L135" s="22"/>
      <c r="M135" s="6">
        <v>835</v>
      </c>
    </row>
    <row r="136" spans="1:15" x14ac:dyDescent="0.4">
      <c r="A136" s="13">
        <v>7</v>
      </c>
      <c r="B136" s="16">
        <v>1</v>
      </c>
      <c r="C136" s="17">
        <v>1</v>
      </c>
      <c r="D136" s="10">
        <v>1</v>
      </c>
      <c r="E136" s="5">
        <v>2.87</v>
      </c>
      <c r="F136" s="5">
        <v>3</v>
      </c>
      <c r="G136" s="6">
        <v>30.8</v>
      </c>
      <c r="H136" s="22"/>
      <c r="I136" s="6">
        <v>3.7</v>
      </c>
      <c r="J136" s="6">
        <v>24.8</v>
      </c>
      <c r="K136" s="6">
        <v>22</v>
      </c>
      <c r="L136" s="22"/>
      <c r="M136" s="6">
        <v>482</v>
      </c>
    </row>
    <row r="137" spans="1:15" x14ac:dyDescent="0.4">
      <c r="A137" s="13">
        <v>7</v>
      </c>
      <c r="B137" s="9">
        <v>2</v>
      </c>
      <c r="C137" s="9">
        <v>1</v>
      </c>
      <c r="D137" s="10">
        <v>2</v>
      </c>
      <c r="E137" s="5">
        <v>2.1</v>
      </c>
      <c r="F137" s="5">
        <v>4.0999999999999996</v>
      </c>
      <c r="G137" s="6">
        <v>28.9</v>
      </c>
      <c r="H137" s="22"/>
      <c r="I137" s="22"/>
      <c r="J137" s="6">
        <v>31.2</v>
      </c>
      <c r="K137" s="6">
        <v>24.3</v>
      </c>
      <c r="L137" s="22"/>
      <c r="M137" s="6">
        <v>796</v>
      </c>
      <c r="O137" s="18"/>
    </row>
    <row r="138" spans="1:15" x14ac:dyDescent="0.4">
      <c r="A138" s="13">
        <v>7</v>
      </c>
      <c r="B138" s="9">
        <v>2</v>
      </c>
      <c r="C138" s="9">
        <v>2</v>
      </c>
      <c r="D138" s="10">
        <v>3</v>
      </c>
      <c r="E138" s="5">
        <v>2.2000000000000002</v>
      </c>
      <c r="F138" s="5">
        <v>2.2000000000000002</v>
      </c>
      <c r="G138" s="6">
        <v>26.8</v>
      </c>
      <c r="H138" s="22"/>
      <c r="I138" s="22"/>
      <c r="J138" s="6">
        <v>30.4</v>
      </c>
      <c r="K138" s="6">
        <v>25</v>
      </c>
      <c r="L138" s="22"/>
      <c r="M138" s="6">
        <v>796</v>
      </c>
    </row>
    <row r="139" spans="1:15" x14ac:dyDescent="0.4">
      <c r="A139" s="13">
        <v>7</v>
      </c>
      <c r="B139" s="9">
        <v>2</v>
      </c>
      <c r="C139" s="9">
        <v>3</v>
      </c>
      <c r="D139" s="10">
        <v>4</v>
      </c>
      <c r="E139" s="5">
        <v>3.8</v>
      </c>
      <c r="F139" s="5">
        <v>2.1</v>
      </c>
      <c r="G139" s="6">
        <v>28.2</v>
      </c>
      <c r="H139" s="22"/>
      <c r="I139" s="22"/>
      <c r="J139" s="6">
        <v>31.4</v>
      </c>
      <c r="K139" s="6">
        <v>23.7</v>
      </c>
      <c r="L139" s="22"/>
      <c r="M139" s="6">
        <v>796</v>
      </c>
    </row>
    <row r="140" spans="1:15" x14ac:dyDescent="0.4">
      <c r="A140" s="13">
        <v>7</v>
      </c>
      <c r="B140" s="9">
        <v>2</v>
      </c>
      <c r="C140" s="9">
        <v>4</v>
      </c>
      <c r="D140" s="10">
        <v>5</v>
      </c>
      <c r="E140" s="5">
        <v>2</v>
      </c>
      <c r="F140" s="5">
        <v>1.7</v>
      </c>
      <c r="G140" s="6">
        <v>26.9</v>
      </c>
      <c r="H140" s="22"/>
      <c r="I140" s="22"/>
      <c r="J140" s="6">
        <v>30.6</v>
      </c>
      <c r="K140" s="6">
        <v>21.6</v>
      </c>
      <c r="L140" s="22"/>
      <c r="M140" s="6">
        <v>796</v>
      </c>
    </row>
    <row r="141" spans="1:15" x14ac:dyDescent="0.4">
      <c r="A141" s="13">
        <v>7</v>
      </c>
      <c r="B141" s="9">
        <v>2</v>
      </c>
      <c r="C141" s="9">
        <v>5</v>
      </c>
      <c r="D141" s="10">
        <v>6</v>
      </c>
      <c r="E141" s="5">
        <v>0.5</v>
      </c>
      <c r="F141" s="5">
        <v>1.3</v>
      </c>
      <c r="G141" s="6">
        <v>27.6</v>
      </c>
      <c r="H141" s="22"/>
      <c r="I141" s="22"/>
      <c r="J141" s="6">
        <v>28.8</v>
      </c>
      <c r="K141" s="6">
        <v>21.3</v>
      </c>
      <c r="L141" s="22"/>
      <c r="M141" s="6">
        <v>796</v>
      </c>
    </row>
    <row r="142" spans="1:15" x14ac:dyDescent="0.4">
      <c r="A142" s="13">
        <v>7</v>
      </c>
      <c r="B142" s="9">
        <v>2</v>
      </c>
      <c r="C142" s="9">
        <v>6</v>
      </c>
      <c r="D142" s="10">
        <v>7</v>
      </c>
      <c r="E142" s="5">
        <v>0.5</v>
      </c>
      <c r="F142" s="5">
        <v>2.4</v>
      </c>
      <c r="G142" s="6">
        <v>25.4</v>
      </c>
      <c r="H142" s="22"/>
      <c r="I142" s="22"/>
      <c r="J142" s="6">
        <v>26.1</v>
      </c>
      <c r="K142" s="6">
        <v>20.399999999999999</v>
      </c>
      <c r="L142" s="22"/>
      <c r="M142" s="6">
        <v>796</v>
      </c>
    </row>
    <row r="143" spans="1:15" x14ac:dyDescent="0.4">
      <c r="A143" s="13">
        <v>7</v>
      </c>
      <c r="B143" s="16">
        <v>3</v>
      </c>
      <c r="C143" s="17">
        <v>1</v>
      </c>
      <c r="D143" s="10">
        <v>8</v>
      </c>
      <c r="E143" s="5">
        <v>2.16</v>
      </c>
      <c r="F143" s="5">
        <v>3.1</v>
      </c>
      <c r="G143" s="6">
        <v>25.8</v>
      </c>
      <c r="H143" s="22"/>
      <c r="I143" s="6">
        <v>3.3</v>
      </c>
      <c r="J143" s="6">
        <v>24.2</v>
      </c>
      <c r="K143" s="6">
        <v>17.2</v>
      </c>
      <c r="L143" s="22"/>
      <c r="M143" s="6">
        <v>530</v>
      </c>
    </row>
    <row r="144" spans="1:15" x14ac:dyDescent="0.4">
      <c r="A144" s="20">
        <v>8</v>
      </c>
      <c r="B144" s="9">
        <v>1</v>
      </c>
      <c r="C144" s="14">
        <v>1</v>
      </c>
      <c r="D144" s="10">
        <v>1</v>
      </c>
      <c r="E144" s="5">
        <v>2.42</v>
      </c>
      <c r="F144" s="5">
        <v>2.8</v>
      </c>
      <c r="G144" s="6">
        <v>34.42</v>
      </c>
      <c r="H144" s="22"/>
      <c r="I144" s="6">
        <v>7</v>
      </c>
      <c r="J144" s="6">
        <v>37.200000000000003</v>
      </c>
      <c r="K144" s="6">
        <v>24.48</v>
      </c>
      <c r="L144" s="22"/>
      <c r="M144" s="6">
        <v>1043</v>
      </c>
    </row>
    <row r="145" spans="1:13" x14ac:dyDescent="0.4">
      <c r="A145" s="20">
        <v>8</v>
      </c>
      <c r="B145" s="16">
        <v>2</v>
      </c>
      <c r="C145" s="16">
        <v>1</v>
      </c>
      <c r="D145" s="10">
        <v>2</v>
      </c>
      <c r="E145" s="5">
        <v>2</v>
      </c>
      <c r="F145" s="5">
        <v>4.4000000000000004</v>
      </c>
      <c r="G145" s="6">
        <v>37.799999999999997</v>
      </c>
      <c r="H145" s="22"/>
      <c r="I145" s="22"/>
      <c r="J145" s="6">
        <v>31.4</v>
      </c>
      <c r="K145" s="6">
        <v>24</v>
      </c>
      <c r="L145" s="22"/>
      <c r="M145" s="6">
        <v>1006</v>
      </c>
    </row>
    <row r="146" spans="1:13" x14ac:dyDescent="0.4">
      <c r="A146" s="20">
        <v>8</v>
      </c>
      <c r="B146" s="16">
        <v>2</v>
      </c>
      <c r="C146" s="16">
        <v>2</v>
      </c>
      <c r="D146" s="10">
        <v>3</v>
      </c>
      <c r="E146" s="5">
        <v>2.2999999999999998</v>
      </c>
      <c r="F146" s="5">
        <v>5.0999999999999996</v>
      </c>
      <c r="G146" s="6">
        <v>37.299999999999997</v>
      </c>
      <c r="H146" s="22"/>
      <c r="I146" s="22"/>
      <c r="J146" s="6">
        <v>33.700000000000003</v>
      </c>
      <c r="K146" s="6">
        <v>23.2</v>
      </c>
      <c r="L146" s="22"/>
      <c r="M146" s="6">
        <v>1006</v>
      </c>
    </row>
    <row r="147" spans="1:13" x14ac:dyDescent="0.4">
      <c r="A147" s="20">
        <v>8</v>
      </c>
      <c r="B147" s="16">
        <v>2</v>
      </c>
      <c r="C147" s="16">
        <v>3</v>
      </c>
      <c r="D147" s="10">
        <v>4</v>
      </c>
      <c r="E147" s="5">
        <v>2.9</v>
      </c>
      <c r="F147" s="5">
        <v>3.3</v>
      </c>
      <c r="G147" s="6">
        <v>36.6</v>
      </c>
      <c r="H147" s="22"/>
      <c r="I147" s="22"/>
      <c r="J147" s="6">
        <v>34.700000000000003</v>
      </c>
      <c r="K147" s="6">
        <v>22.8</v>
      </c>
      <c r="L147" s="22"/>
      <c r="M147" s="6">
        <v>1006</v>
      </c>
    </row>
    <row r="148" spans="1:13" x14ac:dyDescent="0.4">
      <c r="A148" s="20">
        <v>8</v>
      </c>
      <c r="B148" s="16">
        <v>2</v>
      </c>
      <c r="C148" s="16">
        <v>4</v>
      </c>
      <c r="D148" s="10">
        <v>5</v>
      </c>
      <c r="E148" s="5">
        <v>1.5</v>
      </c>
      <c r="F148" s="5">
        <v>1.9</v>
      </c>
      <c r="G148" s="6">
        <v>37.4</v>
      </c>
      <c r="H148" s="22"/>
      <c r="I148" s="22"/>
      <c r="J148" s="6">
        <v>34.6</v>
      </c>
      <c r="K148" s="6">
        <v>20.100000000000001</v>
      </c>
      <c r="L148" s="22"/>
      <c r="M148" s="6">
        <v>1006</v>
      </c>
    </row>
    <row r="149" spans="1:13" x14ac:dyDescent="0.4">
      <c r="A149" s="20">
        <v>8</v>
      </c>
      <c r="B149" s="16">
        <v>2</v>
      </c>
      <c r="C149" s="16">
        <v>5</v>
      </c>
      <c r="D149" s="10">
        <v>6</v>
      </c>
      <c r="E149" s="5">
        <v>0.75</v>
      </c>
      <c r="F149" s="5">
        <v>1</v>
      </c>
      <c r="G149" s="6">
        <v>38.700000000000003</v>
      </c>
      <c r="H149" s="22"/>
      <c r="I149" s="22"/>
      <c r="J149" s="6">
        <v>33.5</v>
      </c>
      <c r="K149" s="6">
        <v>19.7</v>
      </c>
      <c r="L149" s="22"/>
      <c r="M149" s="6">
        <v>1006</v>
      </c>
    </row>
    <row r="150" spans="1:13" x14ac:dyDescent="0.4">
      <c r="A150" s="20">
        <v>8</v>
      </c>
      <c r="B150" s="16">
        <v>2</v>
      </c>
      <c r="C150" s="16">
        <v>6</v>
      </c>
      <c r="D150" s="10">
        <v>7</v>
      </c>
      <c r="E150" s="5">
        <v>0.8</v>
      </c>
      <c r="F150" s="5">
        <v>2.7</v>
      </c>
      <c r="G150" s="6">
        <v>38.299999999999997</v>
      </c>
      <c r="H150" s="22"/>
      <c r="I150" s="22"/>
      <c r="J150" s="6">
        <v>30.8</v>
      </c>
      <c r="K150" s="6">
        <v>18.8</v>
      </c>
      <c r="L150" s="22"/>
      <c r="M150" s="6">
        <v>1006</v>
      </c>
    </row>
    <row r="151" spans="1:13" x14ac:dyDescent="0.4">
      <c r="A151" s="20">
        <v>8</v>
      </c>
      <c r="B151" s="16">
        <v>2</v>
      </c>
      <c r="C151" s="16">
        <v>7</v>
      </c>
      <c r="D151" s="10">
        <v>8</v>
      </c>
      <c r="E151" s="5">
        <v>0.57999999999999996</v>
      </c>
      <c r="F151" s="5">
        <v>2.2000000000000002</v>
      </c>
      <c r="G151" s="6">
        <v>38.6</v>
      </c>
      <c r="H151" s="22"/>
      <c r="I151" s="22"/>
      <c r="J151" s="6">
        <v>29.8</v>
      </c>
      <c r="K151" s="6">
        <v>17.399999999999999</v>
      </c>
      <c r="L151" s="22"/>
      <c r="M151" s="6">
        <v>1006</v>
      </c>
    </row>
    <row r="152" spans="1:13" x14ac:dyDescent="0.4">
      <c r="A152" s="20">
        <v>8</v>
      </c>
      <c r="B152" s="9">
        <v>3</v>
      </c>
      <c r="C152" s="14">
        <v>1</v>
      </c>
      <c r="D152" s="10">
        <v>9</v>
      </c>
      <c r="E152" s="5">
        <v>2.21</v>
      </c>
      <c r="F152" s="5">
        <v>3.34</v>
      </c>
      <c r="G152" s="6">
        <v>38.200000000000003</v>
      </c>
      <c r="H152" s="22"/>
      <c r="I152" s="6">
        <v>6.3</v>
      </c>
      <c r="J152" s="6">
        <v>29.1</v>
      </c>
      <c r="K152" s="6">
        <v>23.9</v>
      </c>
      <c r="L152" s="22"/>
      <c r="M152" s="6">
        <v>1065</v>
      </c>
    </row>
    <row r="153" spans="1:13" x14ac:dyDescent="0.4">
      <c r="A153" s="20">
        <v>8</v>
      </c>
      <c r="B153" s="16">
        <v>4</v>
      </c>
      <c r="C153" s="17">
        <v>1</v>
      </c>
      <c r="D153" s="10">
        <v>10</v>
      </c>
      <c r="E153" s="5">
        <v>2.29</v>
      </c>
      <c r="F153" s="5">
        <v>2.72</v>
      </c>
      <c r="G153" s="6">
        <v>40.9</v>
      </c>
      <c r="H153" s="22"/>
      <c r="I153" s="6">
        <v>6.1</v>
      </c>
      <c r="J153" s="6">
        <v>34.6</v>
      </c>
      <c r="K153" s="6">
        <v>26.49</v>
      </c>
      <c r="L153" s="22"/>
      <c r="M153" s="6">
        <v>1064</v>
      </c>
    </row>
    <row r="154" spans="1:13" x14ac:dyDescent="0.4">
      <c r="A154" s="20">
        <v>8</v>
      </c>
      <c r="B154" s="9">
        <v>5</v>
      </c>
      <c r="C154" s="14">
        <v>1</v>
      </c>
      <c r="D154" s="10">
        <v>11</v>
      </c>
      <c r="E154" s="5">
        <v>2.57</v>
      </c>
      <c r="F154" s="5">
        <v>3.23</v>
      </c>
      <c r="G154" s="6">
        <v>35.9</v>
      </c>
      <c r="H154" s="22"/>
      <c r="I154" s="6">
        <v>7</v>
      </c>
      <c r="J154" s="6">
        <v>33.4</v>
      </c>
      <c r="K154" s="6">
        <v>21.31</v>
      </c>
      <c r="L154" s="22"/>
      <c r="M154" s="6">
        <v>747</v>
      </c>
    </row>
    <row r="155" spans="1:13" x14ac:dyDescent="0.4">
      <c r="A155" s="20">
        <v>8</v>
      </c>
      <c r="B155" s="16">
        <v>6</v>
      </c>
      <c r="C155" s="17">
        <v>1</v>
      </c>
      <c r="D155" s="10">
        <v>12</v>
      </c>
      <c r="E155" s="5">
        <v>2.39</v>
      </c>
      <c r="F155" s="5">
        <v>3.32</v>
      </c>
      <c r="G155" s="6">
        <v>40.6</v>
      </c>
      <c r="H155" s="22"/>
      <c r="I155" s="6">
        <v>5.8</v>
      </c>
      <c r="J155" s="6">
        <v>32.5</v>
      </c>
      <c r="K155" s="6">
        <v>23.5</v>
      </c>
      <c r="L155" s="22"/>
      <c r="M155" s="6">
        <v>1231</v>
      </c>
    </row>
    <row r="156" spans="1:13" x14ac:dyDescent="0.4">
      <c r="A156" s="20">
        <v>8</v>
      </c>
      <c r="B156" s="9">
        <v>7</v>
      </c>
      <c r="C156" s="14">
        <v>1</v>
      </c>
      <c r="D156" s="10">
        <v>13</v>
      </c>
      <c r="E156" s="5">
        <v>2.63</v>
      </c>
      <c r="F156" s="5">
        <v>3.28</v>
      </c>
      <c r="G156" s="6">
        <v>38.700000000000003</v>
      </c>
      <c r="H156" s="22"/>
      <c r="I156" s="6">
        <v>6.8</v>
      </c>
      <c r="J156" s="6">
        <v>32.200000000000003</v>
      </c>
      <c r="K156" s="6">
        <v>22.53</v>
      </c>
      <c r="L156" s="22"/>
      <c r="M156" s="6">
        <v>1222</v>
      </c>
    </row>
    <row r="157" spans="1:13" x14ac:dyDescent="0.4">
      <c r="A157" s="20">
        <v>8</v>
      </c>
      <c r="B157" s="16">
        <v>8</v>
      </c>
      <c r="C157" s="17">
        <v>1</v>
      </c>
      <c r="D157" s="10">
        <v>14</v>
      </c>
      <c r="E157" s="5">
        <v>3</v>
      </c>
      <c r="F157" s="5">
        <v>3.3</v>
      </c>
      <c r="G157" s="6">
        <v>39.14</v>
      </c>
      <c r="H157" s="22"/>
      <c r="I157" s="6">
        <v>6.3</v>
      </c>
      <c r="J157" s="6">
        <v>31.5</v>
      </c>
      <c r="K157" s="6">
        <v>23.3</v>
      </c>
      <c r="L157" s="22"/>
      <c r="M157" s="6">
        <v>1042</v>
      </c>
    </row>
    <row r="158" spans="1:13" x14ac:dyDescent="0.4">
      <c r="A158" s="20">
        <v>8</v>
      </c>
      <c r="B158" s="9">
        <v>9</v>
      </c>
      <c r="C158" s="14">
        <v>1</v>
      </c>
      <c r="D158" s="10">
        <v>15</v>
      </c>
      <c r="E158" s="5">
        <v>2.23</v>
      </c>
      <c r="F158" s="5">
        <v>3.17</v>
      </c>
      <c r="G158" s="6">
        <v>36.700000000000003</v>
      </c>
      <c r="H158" s="22"/>
      <c r="I158" s="6">
        <v>7</v>
      </c>
      <c r="J158" s="6">
        <v>32.700000000000003</v>
      </c>
      <c r="K158" s="6">
        <v>22.9</v>
      </c>
      <c r="L158" s="22"/>
      <c r="M158" s="6">
        <v>698</v>
      </c>
    </row>
    <row r="159" spans="1:13" x14ac:dyDescent="0.4">
      <c r="A159" s="20">
        <v>8</v>
      </c>
      <c r="B159" s="16">
        <v>10</v>
      </c>
      <c r="C159" s="17">
        <v>1</v>
      </c>
      <c r="D159" s="10">
        <v>16</v>
      </c>
      <c r="E159" s="5">
        <v>1.88</v>
      </c>
      <c r="F159" s="5">
        <v>2.5</v>
      </c>
      <c r="G159" s="6">
        <v>40.799999999999997</v>
      </c>
      <c r="H159" s="22"/>
      <c r="I159" s="6">
        <v>6</v>
      </c>
      <c r="J159" s="6">
        <v>33.200000000000003</v>
      </c>
      <c r="K159" s="6">
        <v>23</v>
      </c>
      <c r="L159" s="22"/>
      <c r="M159" s="6">
        <v>1078</v>
      </c>
    </row>
    <row r="160" spans="1:13" x14ac:dyDescent="0.4">
      <c r="A160" s="13">
        <v>9</v>
      </c>
      <c r="B160" s="9">
        <v>1</v>
      </c>
      <c r="C160" s="14">
        <v>1</v>
      </c>
      <c r="D160" s="10">
        <v>1</v>
      </c>
      <c r="E160" s="5">
        <v>3.6</v>
      </c>
      <c r="F160" s="5">
        <v>2.7</v>
      </c>
      <c r="G160" s="6">
        <v>25.11</v>
      </c>
      <c r="H160" s="22"/>
      <c r="I160" s="6">
        <v>6</v>
      </c>
      <c r="J160" s="6">
        <v>29.5</v>
      </c>
      <c r="K160" s="6">
        <v>26.17</v>
      </c>
      <c r="L160" s="22"/>
      <c r="M160" s="6">
        <v>1123</v>
      </c>
    </row>
    <row r="161" spans="1:13" x14ac:dyDescent="0.4">
      <c r="A161" s="13">
        <v>9</v>
      </c>
      <c r="B161" s="16">
        <v>2</v>
      </c>
      <c r="C161" s="17">
        <v>1</v>
      </c>
      <c r="D161" s="10">
        <v>2</v>
      </c>
      <c r="E161" s="5">
        <v>0.7</v>
      </c>
      <c r="F161" s="5">
        <v>2.1</v>
      </c>
      <c r="G161" s="6">
        <v>26.7</v>
      </c>
      <c r="H161" s="22"/>
      <c r="I161" s="24"/>
      <c r="J161" s="6">
        <v>34.200000000000003</v>
      </c>
      <c r="K161" s="6">
        <v>32.5</v>
      </c>
      <c r="L161" s="22"/>
      <c r="M161" s="6">
        <v>1127</v>
      </c>
    </row>
    <row r="162" spans="1:13" x14ac:dyDescent="0.4">
      <c r="A162" s="13">
        <v>9</v>
      </c>
      <c r="B162" s="16">
        <v>2</v>
      </c>
      <c r="C162" s="17">
        <v>2</v>
      </c>
      <c r="D162" s="10">
        <v>3</v>
      </c>
      <c r="E162" s="5">
        <v>0.7</v>
      </c>
      <c r="F162" s="5">
        <v>2.4</v>
      </c>
      <c r="G162" s="6">
        <v>28.4</v>
      </c>
      <c r="H162" s="22"/>
      <c r="I162" s="22"/>
      <c r="J162" s="6">
        <v>32.799999999999997</v>
      </c>
      <c r="K162" s="6">
        <v>33.6</v>
      </c>
      <c r="L162" s="22"/>
      <c r="M162" s="6">
        <v>1127</v>
      </c>
    </row>
    <row r="163" spans="1:13" x14ac:dyDescent="0.4">
      <c r="A163" s="13">
        <v>9</v>
      </c>
      <c r="B163" s="16">
        <v>2</v>
      </c>
      <c r="C163" s="17">
        <v>3</v>
      </c>
      <c r="D163" s="10">
        <v>4</v>
      </c>
      <c r="E163" s="5">
        <v>0.4</v>
      </c>
      <c r="F163" s="5">
        <v>1.6</v>
      </c>
      <c r="G163" s="6">
        <v>23.4</v>
      </c>
      <c r="H163" s="22"/>
      <c r="I163" s="22"/>
      <c r="J163" s="6">
        <v>32.6</v>
      </c>
      <c r="K163" s="6">
        <v>28.8</v>
      </c>
      <c r="L163" s="22"/>
      <c r="M163" s="6">
        <v>1127</v>
      </c>
    </row>
    <row r="164" spans="1:13" x14ac:dyDescent="0.4">
      <c r="A164" s="13">
        <v>9</v>
      </c>
      <c r="B164" s="16">
        <v>2</v>
      </c>
      <c r="C164" s="17">
        <v>4</v>
      </c>
      <c r="D164" s="10">
        <v>5</v>
      </c>
      <c r="E164" s="5">
        <v>2.7</v>
      </c>
      <c r="F164" s="5">
        <v>4.2</v>
      </c>
      <c r="G164" s="6">
        <v>23.4</v>
      </c>
      <c r="H164" s="22"/>
      <c r="I164" s="22"/>
      <c r="J164" s="6">
        <v>31.5</v>
      </c>
      <c r="K164" s="6">
        <v>23.9</v>
      </c>
      <c r="L164" s="22"/>
      <c r="M164" s="6">
        <v>1127</v>
      </c>
    </row>
    <row r="165" spans="1:13" x14ac:dyDescent="0.4">
      <c r="A165" s="13">
        <v>9</v>
      </c>
      <c r="B165" s="16">
        <v>2</v>
      </c>
      <c r="C165" s="17">
        <v>5</v>
      </c>
      <c r="D165" s="10">
        <v>6</v>
      </c>
      <c r="E165" s="5">
        <v>4.4000000000000004</v>
      </c>
      <c r="F165" s="5">
        <v>2.2999999999999998</v>
      </c>
      <c r="G165" s="6">
        <v>25.5</v>
      </c>
      <c r="H165" s="22"/>
      <c r="I165" s="22"/>
      <c r="J165" s="6">
        <v>31.8</v>
      </c>
      <c r="K165" s="6">
        <v>23</v>
      </c>
      <c r="L165" s="22"/>
      <c r="M165" s="6">
        <v>1127</v>
      </c>
    </row>
    <row r="166" spans="1:13" x14ac:dyDescent="0.4">
      <c r="A166" s="13">
        <v>9</v>
      </c>
      <c r="B166" s="16">
        <v>2</v>
      </c>
      <c r="C166" s="17">
        <v>6</v>
      </c>
      <c r="D166" s="10">
        <v>7</v>
      </c>
      <c r="E166" s="5">
        <v>2.9</v>
      </c>
      <c r="F166" s="5">
        <v>3.2</v>
      </c>
      <c r="G166" s="6">
        <v>24.6</v>
      </c>
      <c r="H166" s="22"/>
      <c r="I166" s="22"/>
      <c r="J166" s="6">
        <v>35.799999999999997</v>
      </c>
      <c r="K166" s="6">
        <v>20.399999999999999</v>
      </c>
      <c r="L166" s="22"/>
      <c r="M166" s="6">
        <v>1127</v>
      </c>
    </row>
    <row r="167" spans="1:13" x14ac:dyDescent="0.4">
      <c r="A167" s="20">
        <v>10</v>
      </c>
      <c r="B167" s="9">
        <v>1</v>
      </c>
      <c r="C167" s="9">
        <v>1</v>
      </c>
      <c r="D167" s="10">
        <v>1</v>
      </c>
      <c r="E167" s="5">
        <v>0.57999999999999996</v>
      </c>
      <c r="F167" s="5">
        <v>2.6</v>
      </c>
      <c r="G167" s="6">
        <v>25.11</v>
      </c>
      <c r="H167" s="22"/>
      <c r="I167" s="6">
        <v>2.4</v>
      </c>
      <c r="J167" s="6">
        <v>32.200000000000003</v>
      </c>
      <c r="K167" s="6">
        <v>33.130000000000003</v>
      </c>
      <c r="L167" s="22"/>
      <c r="M167" s="6">
        <v>790</v>
      </c>
    </row>
    <row r="168" spans="1:13" x14ac:dyDescent="0.4">
      <c r="A168" s="20">
        <v>10</v>
      </c>
      <c r="B168" s="16">
        <v>2</v>
      </c>
      <c r="C168" s="16">
        <v>1</v>
      </c>
      <c r="D168" s="10">
        <v>2</v>
      </c>
      <c r="E168" s="5">
        <v>1.1000000000000001</v>
      </c>
      <c r="F168" s="5">
        <v>3.1</v>
      </c>
      <c r="G168" s="6">
        <v>20.3</v>
      </c>
      <c r="H168" s="22"/>
      <c r="I168" s="22"/>
      <c r="J168" s="6">
        <v>38</v>
      </c>
      <c r="K168" s="6">
        <v>26.7</v>
      </c>
      <c r="L168" s="22"/>
      <c r="M168" s="6">
        <v>571</v>
      </c>
    </row>
    <row r="169" spans="1:13" x14ac:dyDescent="0.4">
      <c r="A169" s="20">
        <v>10</v>
      </c>
      <c r="B169" s="16">
        <v>2</v>
      </c>
      <c r="C169" s="16">
        <v>2</v>
      </c>
      <c r="D169" s="10">
        <v>3</v>
      </c>
      <c r="E169" s="5">
        <v>5.2</v>
      </c>
      <c r="F169" s="5">
        <v>2.2999999999999998</v>
      </c>
      <c r="G169" s="6">
        <v>21.1</v>
      </c>
      <c r="H169" s="22"/>
      <c r="I169" s="22"/>
      <c r="J169" s="6">
        <v>39.700000000000003</v>
      </c>
      <c r="K169" s="6">
        <v>26.5</v>
      </c>
      <c r="L169" s="22"/>
      <c r="M169" s="6">
        <v>571</v>
      </c>
    </row>
    <row r="170" spans="1:13" x14ac:dyDescent="0.4">
      <c r="A170" s="20">
        <v>10</v>
      </c>
      <c r="B170" s="16">
        <v>2</v>
      </c>
      <c r="C170" s="16">
        <v>3</v>
      </c>
      <c r="D170" s="10">
        <v>4</v>
      </c>
      <c r="E170" s="5">
        <v>0.1</v>
      </c>
      <c r="F170" s="5">
        <v>1.6</v>
      </c>
      <c r="G170" s="6">
        <v>21</v>
      </c>
      <c r="H170" s="22"/>
      <c r="I170" s="22"/>
      <c r="J170" s="6">
        <v>38.200000000000003</v>
      </c>
      <c r="K170" s="6">
        <v>24.2</v>
      </c>
      <c r="L170" s="22"/>
      <c r="M170" s="6">
        <v>571</v>
      </c>
    </row>
    <row r="171" spans="1:13" x14ac:dyDescent="0.4">
      <c r="A171" s="20">
        <v>10</v>
      </c>
      <c r="B171" s="16">
        <v>2</v>
      </c>
      <c r="C171" s="16">
        <v>4</v>
      </c>
      <c r="D171" s="10">
        <v>5</v>
      </c>
      <c r="E171" s="5">
        <v>0.5</v>
      </c>
      <c r="F171" s="5">
        <v>2.4</v>
      </c>
      <c r="G171" s="6">
        <v>22</v>
      </c>
      <c r="H171" s="22"/>
      <c r="I171" s="22"/>
      <c r="J171" s="6">
        <v>36.5</v>
      </c>
      <c r="K171" s="6">
        <v>23.5</v>
      </c>
      <c r="L171" s="22"/>
      <c r="M171" s="6">
        <v>571</v>
      </c>
    </row>
    <row r="172" spans="1:13" x14ac:dyDescent="0.4">
      <c r="A172" s="20">
        <v>10</v>
      </c>
      <c r="B172" s="16">
        <v>2</v>
      </c>
      <c r="C172" s="16">
        <v>5</v>
      </c>
      <c r="D172" s="10">
        <v>6</v>
      </c>
      <c r="E172" s="5">
        <v>1.5</v>
      </c>
      <c r="F172" s="5">
        <v>1.8</v>
      </c>
      <c r="G172" s="6">
        <v>20.7</v>
      </c>
      <c r="H172" s="22"/>
      <c r="I172" s="22"/>
      <c r="J172" s="6">
        <v>36.4</v>
      </c>
      <c r="K172" s="6">
        <v>21.1</v>
      </c>
      <c r="L172" s="22"/>
      <c r="M172" s="6">
        <v>571</v>
      </c>
    </row>
    <row r="173" spans="1:13" x14ac:dyDescent="0.4">
      <c r="A173" s="20">
        <v>10</v>
      </c>
      <c r="B173" s="16">
        <v>2</v>
      </c>
      <c r="C173" s="16">
        <v>6</v>
      </c>
      <c r="D173" s="10">
        <v>7</v>
      </c>
      <c r="E173" s="5">
        <v>1.8</v>
      </c>
      <c r="F173" s="5">
        <v>2.4</v>
      </c>
      <c r="G173" s="6">
        <v>18.600000000000001</v>
      </c>
      <c r="H173" s="22"/>
      <c r="I173" s="22"/>
      <c r="J173" s="6">
        <v>35.9</v>
      </c>
      <c r="K173" s="6">
        <v>21.7</v>
      </c>
      <c r="L173" s="22"/>
      <c r="M173" s="6">
        <v>571</v>
      </c>
    </row>
    <row r="174" spans="1:13" x14ac:dyDescent="0.4">
      <c r="A174" s="20">
        <v>10</v>
      </c>
      <c r="B174" s="9">
        <v>3</v>
      </c>
      <c r="C174" s="9">
        <v>1</v>
      </c>
      <c r="D174" s="10">
        <v>8</v>
      </c>
      <c r="E174" s="5">
        <v>1.3</v>
      </c>
      <c r="F174" s="5">
        <v>2.6</v>
      </c>
      <c r="G174" s="6">
        <v>18.45</v>
      </c>
      <c r="H174" s="22"/>
      <c r="I174" s="6">
        <v>0</v>
      </c>
      <c r="J174" s="6">
        <v>34.4</v>
      </c>
      <c r="K174" s="6">
        <v>29</v>
      </c>
      <c r="L174" s="22"/>
      <c r="M174" s="6">
        <v>982</v>
      </c>
    </row>
    <row r="175" spans="1:13" x14ac:dyDescent="0.4">
      <c r="A175" s="13">
        <v>11</v>
      </c>
      <c r="B175" s="16">
        <v>1</v>
      </c>
      <c r="C175" s="16">
        <v>1</v>
      </c>
      <c r="D175" s="10">
        <v>1</v>
      </c>
      <c r="E175" s="5">
        <v>0.63</v>
      </c>
      <c r="F175" s="5">
        <v>2.7</v>
      </c>
      <c r="G175" s="6">
        <v>25.13</v>
      </c>
      <c r="H175" s="22"/>
      <c r="I175" s="6">
        <v>5.8</v>
      </c>
      <c r="J175" s="6">
        <v>31.3</v>
      </c>
      <c r="K175" s="6">
        <v>22.2</v>
      </c>
      <c r="L175" s="22"/>
      <c r="M175" s="6">
        <v>749</v>
      </c>
    </row>
    <row r="176" spans="1:13" x14ac:dyDescent="0.4">
      <c r="A176" s="13">
        <v>11</v>
      </c>
      <c r="B176" s="9">
        <v>2</v>
      </c>
      <c r="C176" s="9">
        <v>1</v>
      </c>
      <c r="D176" s="10">
        <v>2</v>
      </c>
      <c r="E176" s="5">
        <v>1.1200000000000001</v>
      </c>
      <c r="F176" s="5">
        <v>3.1</v>
      </c>
      <c r="G176" s="6">
        <v>26.79</v>
      </c>
      <c r="H176" s="22"/>
      <c r="I176" s="6">
        <v>8.6</v>
      </c>
      <c r="J176" s="6">
        <v>31.9</v>
      </c>
      <c r="K176" s="6">
        <v>19.5</v>
      </c>
      <c r="L176" s="22"/>
      <c r="M176" s="6">
        <v>740</v>
      </c>
    </row>
    <row r="177" spans="1:18" x14ac:dyDescent="0.4">
      <c r="A177" s="13">
        <v>11</v>
      </c>
      <c r="B177" s="16">
        <v>3</v>
      </c>
      <c r="C177" s="16">
        <v>1</v>
      </c>
      <c r="D177" s="10">
        <v>3</v>
      </c>
      <c r="E177" s="5">
        <v>1.33</v>
      </c>
      <c r="F177" s="5">
        <v>1.5</v>
      </c>
      <c r="G177" s="6">
        <v>27.7</v>
      </c>
      <c r="H177" s="22"/>
      <c r="I177" s="6">
        <v>8.6999999999999993</v>
      </c>
      <c r="J177" s="6">
        <v>28.4</v>
      </c>
      <c r="K177" s="6">
        <v>22.7</v>
      </c>
      <c r="L177" s="22"/>
      <c r="M177" s="6">
        <v>896</v>
      </c>
    </row>
    <row r="178" spans="1:18" x14ac:dyDescent="0.4">
      <c r="A178" s="13">
        <v>11</v>
      </c>
      <c r="B178" s="9">
        <v>4</v>
      </c>
      <c r="C178" s="9">
        <v>1</v>
      </c>
      <c r="D178" s="10">
        <v>4</v>
      </c>
      <c r="E178" s="5">
        <v>3.8</v>
      </c>
      <c r="F178" s="5">
        <v>1.75</v>
      </c>
      <c r="G178" s="6">
        <v>25.47</v>
      </c>
      <c r="H178" s="22"/>
      <c r="I178" s="6">
        <v>7.6</v>
      </c>
      <c r="J178" s="6">
        <v>30.9</v>
      </c>
      <c r="K178" s="6">
        <v>25.1</v>
      </c>
      <c r="L178" s="22"/>
      <c r="M178" s="6">
        <v>896</v>
      </c>
    </row>
    <row r="179" spans="1:18" x14ac:dyDescent="0.4">
      <c r="A179" s="13">
        <v>11</v>
      </c>
      <c r="B179" s="16">
        <v>5</v>
      </c>
      <c r="C179" s="16">
        <v>1</v>
      </c>
      <c r="D179" s="10">
        <v>5</v>
      </c>
      <c r="E179" s="5">
        <v>1.18</v>
      </c>
      <c r="F179" s="5">
        <v>2</v>
      </c>
      <c r="G179" s="6">
        <v>22.8</v>
      </c>
      <c r="H179" s="22"/>
      <c r="I179" s="6">
        <v>6.2</v>
      </c>
      <c r="J179" s="6">
        <v>31.7</v>
      </c>
      <c r="K179" s="6">
        <v>22.5</v>
      </c>
      <c r="L179" s="22"/>
      <c r="M179" s="6">
        <v>896</v>
      </c>
      <c r="P179" s="18"/>
    </row>
    <row r="180" spans="1:18" x14ac:dyDescent="0.4">
      <c r="A180" s="13">
        <v>11</v>
      </c>
      <c r="B180" s="9">
        <v>6</v>
      </c>
      <c r="C180" s="9">
        <v>1</v>
      </c>
      <c r="D180" s="10">
        <v>6</v>
      </c>
      <c r="E180" s="5">
        <v>0.8</v>
      </c>
      <c r="F180" s="5">
        <v>2.2999999999999998</v>
      </c>
      <c r="G180" s="6">
        <v>22.5</v>
      </c>
      <c r="H180" s="22"/>
      <c r="I180" s="22"/>
      <c r="J180" s="6">
        <v>30</v>
      </c>
      <c r="K180" s="6">
        <v>23.2</v>
      </c>
      <c r="L180" s="22"/>
      <c r="M180" s="6">
        <v>940</v>
      </c>
      <c r="R180" s="18"/>
    </row>
    <row r="181" spans="1:18" x14ac:dyDescent="0.4">
      <c r="A181" s="13">
        <v>11</v>
      </c>
      <c r="B181" s="20">
        <v>6</v>
      </c>
      <c r="C181" s="20">
        <v>2</v>
      </c>
      <c r="D181" s="10">
        <v>7</v>
      </c>
      <c r="E181" s="5">
        <v>1</v>
      </c>
      <c r="F181" s="5">
        <v>1.9</v>
      </c>
      <c r="G181" s="6">
        <v>22.6</v>
      </c>
      <c r="H181" s="22"/>
      <c r="I181" s="22"/>
      <c r="J181" s="6">
        <v>29.3</v>
      </c>
      <c r="K181" s="6">
        <v>20.2</v>
      </c>
      <c r="L181" s="22"/>
      <c r="M181" s="6">
        <v>940</v>
      </c>
    </row>
    <row r="182" spans="1:18" x14ac:dyDescent="0.4">
      <c r="A182" s="13">
        <v>11</v>
      </c>
      <c r="B182" s="20">
        <v>6</v>
      </c>
      <c r="C182" s="20">
        <v>3</v>
      </c>
      <c r="D182" s="10">
        <v>8</v>
      </c>
      <c r="E182" s="5">
        <v>0.7</v>
      </c>
      <c r="F182" s="5">
        <v>2.1</v>
      </c>
      <c r="G182" s="6">
        <v>22.6</v>
      </c>
      <c r="H182" s="22"/>
      <c r="I182" s="22"/>
      <c r="J182" s="6">
        <v>29.1</v>
      </c>
      <c r="K182" s="6">
        <v>16.399999999999999</v>
      </c>
      <c r="L182" s="22"/>
      <c r="M182" s="6">
        <v>940</v>
      </c>
    </row>
    <row r="183" spans="1:18" x14ac:dyDescent="0.4">
      <c r="A183" s="13">
        <v>11</v>
      </c>
      <c r="B183" s="20">
        <v>6</v>
      </c>
      <c r="C183" s="20">
        <v>4</v>
      </c>
      <c r="D183" s="10">
        <v>9</v>
      </c>
      <c r="E183" s="5">
        <v>0.6</v>
      </c>
      <c r="F183" s="5">
        <v>2</v>
      </c>
      <c r="G183" s="6">
        <v>23.9</v>
      </c>
      <c r="H183" s="22"/>
      <c r="I183" s="22"/>
      <c r="J183" s="6">
        <v>29.2</v>
      </c>
      <c r="K183" s="6">
        <v>15.6</v>
      </c>
      <c r="L183" s="22"/>
      <c r="M183" s="6">
        <v>940</v>
      </c>
    </row>
    <row r="184" spans="1:18" x14ac:dyDescent="0.4">
      <c r="A184" s="13">
        <v>11</v>
      </c>
      <c r="B184" s="20">
        <v>6</v>
      </c>
      <c r="C184" s="20">
        <v>5</v>
      </c>
      <c r="D184" s="10">
        <v>10</v>
      </c>
      <c r="E184" s="5">
        <v>0.5</v>
      </c>
      <c r="F184" s="5">
        <v>1.5</v>
      </c>
      <c r="G184" s="6">
        <v>24.1</v>
      </c>
      <c r="H184" s="22"/>
      <c r="I184" s="22"/>
      <c r="J184" s="6">
        <v>31.1</v>
      </c>
      <c r="K184" s="6">
        <v>15.3</v>
      </c>
      <c r="L184" s="22"/>
      <c r="M184" s="6">
        <v>940</v>
      </c>
    </row>
    <row r="185" spans="1:18" x14ac:dyDescent="0.4">
      <c r="A185" s="13">
        <v>11</v>
      </c>
      <c r="B185" s="9">
        <v>6</v>
      </c>
      <c r="C185" s="9">
        <v>6</v>
      </c>
      <c r="D185" s="10">
        <v>11</v>
      </c>
      <c r="E185" s="5">
        <v>0.6</v>
      </c>
      <c r="F185" s="5">
        <v>1.8</v>
      </c>
      <c r="G185" s="6">
        <v>24.6</v>
      </c>
      <c r="H185" s="22"/>
      <c r="I185" s="22"/>
      <c r="J185" s="6">
        <v>33.700000000000003</v>
      </c>
      <c r="K185" s="6">
        <v>14.1</v>
      </c>
      <c r="L185" s="22"/>
      <c r="M185" s="6">
        <v>940</v>
      </c>
    </row>
    <row r="186" spans="1:18" x14ac:dyDescent="0.4">
      <c r="A186" s="13">
        <v>11</v>
      </c>
      <c r="B186" s="16">
        <v>7</v>
      </c>
      <c r="C186" s="16">
        <v>1</v>
      </c>
      <c r="D186" s="10">
        <v>12</v>
      </c>
      <c r="E186" s="5">
        <v>1.18</v>
      </c>
      <c r="F186" s="5">
        <v>3.4</v>
      </c>
      <c r="G186" s="6">
        <v>23.2</v>
      </c>
      <c r="H186" s="22"/>
      <c r="I186" s="6">
        <v>6.9</v>
      </c>
      <c r="J186" s="6">
        <v>28.4</v>
      </c>
      <c r="K186" s="6">
        <v>20.8</v>
      </c>
      <c r="L186" s="22"/>
      <c r="M186" s="6">
        <v>795</v>
      </c>
    </row>
    <row r="187" spans="1:18" x14ac:dyDescent="0.4">
      <c r="A187" s="13">
        <v>11</v>
      </c>
      <c r="B187" s="9">
        <v>8</v>
      </c>
      <c r="C187" s="9">
        <v>1</v>
      </c>
      <c r="D187" s="10">
        <v>13</v>
      </c>
      <c r="E187" s="5">
        <v>1.27</v>
      </c>
      <c r="F187" s="5">
        <v>2.1</v>
      </c>
      <c r="G187" s="6">
        <v>19.600000000000001</v>
      </c>
      <c r="H187" s="22"/>
      <c r="I187" s="6">
        <v>6.2</v>
      </c>
      <c r="J187" s="6">
        <v>31</v>
      </c>
      <c r="K187" s="6">
        <v>23.6</v>
      </c>
      <c r="L187" s="22"/>
      <c r="M187" s="6">
        <v>749</v>
      </c>
    </row>
    <row r="188" spans="1:18" x14ac:dyDescent="0.4">
      <c r="A188" s="13">
        <v>11</v>
      </c>
      <c r="B188" s="16">
        <v>9</v>
      </c>
      <c r="C188" s="16">
        <v>1</v>
      </c>
      <c r="D188" s="10">
        <v>14</v>
      </c>
      <c r="E188" s="5">
        <v>0.33</v>
      </c>
      <c r="F188" s="5">
        <v>2.1</v>
      </c>
      <c r="G188" s="6">
        <v>17.8</v>
      </c>
      <c r="H188" s="22"/>
      <c r="I188" s="6">
        <v>3.8</v>
      </c>
      <c r="J188" s="6">
        <v>28.5</v>
      </c>
      <c r="K188" s="6">
        <v>24.6</v>
      </c>
      <c r="L188" s="22"/>
      <c r="M188" s="6">
        <v>795</v>
      </c>
    </row>
    <row r="189" spans="1:18" x14ac:dyDescent="0.4">
      <c r="A189" s="13">
        <v>11</v>
      </c>
      <c r="B189" s="9">
        <v>10</v>
      </c>
      <c r="C189" s="9">
        <v>1</v>
      </c>
      <c r="D189" s="10">
        <v>15</v>
      </c>
      <c r="E189" s="5">
        <v>3.1</v>
      </c>
      <c r="F189" s="5">
        <v>2.95</v>
      </c>
      <c r="G189" s="6">
        <v>20.9</v>
      </c>
      <c r="H189" s="30"/>
      <c r="I189" s="6">
        <v>4.2</v>
      </c>
      <c r="J189" s="6">
        <v>28</v>
      </c>
      <c r="K189" s="6">
        <v>23.3</v>
      </c>
      <c r="L189" s="30"/>
      <c r="M189" s="6">
        <v>871</v>
      </c>
    </row>
    <row r="190" spans="1:18" x14ac:dyDescent="0.4">
      <c r="A190" s="20">
        <v>12</v>
      </c>
      <c r="B190" s="16">
        <v>1</v>
      </c>
      <c r="C190" s="16">
        <v>1</v>
      </c>
      <c r="D190" s="10">
        <v>1</v>
      </c>
      <c r="E190" s="5">
        <v>2.17</v>
      </c>
      <c r="F190" s="11">
        <v>2.7</v>
      </c>
      <c r="G190" s="12">
        <v>29.9</v>
      </c>
      <c r="H190" s="30"/>
      <c r="I190" s="6">
        <v>9.5</v>
      </c>
      <c r="J190" s="12">
        <v>37</v>
      </c>
      <c r="K190" s="12">
        <v>36.78</v>
      </c>
      <c r="L190" s="30"/>
      <c r="M190" s="29">
        <v>830</v>
      </c>
    </row>
    <row r="191" spans="1:18" x14ac:dyDescent="0.4">
      <c r="A191" s="20">
        <v>12</v>
      </c>
      <c r="B191" s="9">
        <v>2</v>
      </c>
      <c r="C191" s="9">
        <v>1</v>
      </c>
      <c r="D191" s="10">
        <v>2</v>
      </c>
      <c r="E191" s="5">
        <v>2.5</v>
      </c>
      <c r="F191" s="5">
        <v>2.2999999999999998</v>
      </c>
      <c r="G191" s="6">
        <v>23.1</v>
      </c>
      <c r="H191" s="30"/>
      <c r="I191" s="30"/>
      <c r="J191" s="6">
        <v>34.9</v>
      </c>
      <c r="K191" s="6">
        <v>37.1</v>
      </c>
      <c r="L191" s="30"/>
      <c r="M191" s="29">
        <v>813</v>
      </c>
    </row>
    <row r="192" spans="1:18" x14ac:dyDescent="0.4">
      <c r="A192" s="20">
        <v>12</v>
      </c>
      <c r="B192" s="9">
        <v>2</v>
      </c>
      <c r="C192" s="9">
        <v>2</v>
      </c>
      <c r="D192" s="10">
        <v>3</v>
      </c>
      <c r="E192" s="5">
        <v>3.2</v>
      </c>
      <c r="F192" s="5">
        <v>1.9</v>
      </c>
      <c r="G192" s="6">
        <v>23.3</v>
      </c>
      <c r="H192" s="30"/>
      <c r="I192" s="30"/>
      <c r="J192" s="6">
        <v>34.200000000000003</v>
      </c>
      <c r="K192" s="6">
        <v>35.200000000000003</v>
      </c>
      <c r="L192" s="30"/>
      <c r="M192" s="29">
        <v>813</v>
      </c>
    </row>
    <row r="193" spans="1:13" x14ac:dyDescent="0.4">
      <c r="A193" s="20">
        <v>12</v>
      </c>
      <c r="B193" s="9">
        <v>2</v>
      </c>
      <c r="C193" s="9">
        <v>3</v>
      </c>
      <c r="D193" s="10">
        <v>4</v>
      </c>
      <c r="E193" s="5">
        <v>3</v>
      </c>
      <c r="F193" s="5">
        <v>2.4</v>
      </c>
      <c r="G193" s="6">
        <v>24.2</v>
      </c>
      <c r="H193" s="30"/>
      <c r="I193" s="30"/>
      <c r="J193" s="6">
        <v>35.9</v>
      </c>
      <c r="K193" s="6">
        <v>36</v>
      </c>
      <c r="L193" s="30"/>
      <c r="M193" s="29">
        <v>813</v>
      </c>
    </row>
    <row r="194" spans="1:13" x14ac:dyDescent="0.4">
      <c r="A194" s="20">
        <v>12</v>
      </c>
      <c r="B194" s="9">
        <v>2</v>
      </c>
      <c r="C194" s="9">
        <v>4</v>
      </c>
      <c r="D194" s="10">
        <v>5</v>
      </c>
      <c r="E194" s="5">
        <v>1.5</v>
      </c>
      <c r="F194" s="5">
        <v>2.5</v>
      </c>
      <c r="G194" s="6">
        <v>24.7</v>
      </c>
      <c r="H194" s="30"/>
      <c r="I194" s="30"/>
      <c r="J194" s="6">
        <v>33.200000000000003</v>
      </c>
      <c r="K194" s="6">
        <v>33.1</v>
      </c>
      <c r="L194" s="30"/>
      <c r="M194" s="29">
        <v>813</v>
      </c>
    </row>
    <row r="195" spans="1:13" x14ac:dyDescent="0.4">
      <c r="A195" s="20">
        <v>12</v>
      </c>
      <c r="B195" s="9">
        <v>2</v>
      </c>
      <c r="C195" s="9">
        <v>5</v>
      </c>
      <c r="D195" s="10">
        <v>6</v>
      </c>
      <c r="E195" s="5">
        <v>2</v>
      </c>
      <c r="F195" s="5">
        <v>3</v>
      </c>
      <c r="G195" s="6">
        <v>26.1</v>
      </c>
      <c r="H195" s="30"/>
      <c r="I195" s="30"/>
      <c r="J195" s="6">
        <v>34</v>
      </c>
      <c r="K195" s="6">
        <v>34.700000000000003</v>
      </c>
      <c r="L195" s="30"/>
      <c r="M195" s="29">
        <v>813</v>
      </c>
    </row>
    <row r="196" spans="1:13" x14ac:dyDescent="0.4">
      <c r="A196" s="20">
        <v>12</v>
      </c>
      <c r="B196" s="9">
        <v>2</v>
      </c>
      <c r="C196" s="9">
        <v>6</v>
      </c>
      <c r="D196" s="10">
        <v>7</v>
      </c>
      <c r="E196" s="5">
        <v>1.5</v>
      </c>
      <c r="F196" s="5">
        <v>2.2000000000000002</v>
      </c>
      <c r="G196" s="6">
        <v>25.9</v>
      </c>
      <c r="H196" s="30"/>
      <c r="I196" s="30"/>
      <c r="J196" s="6">
        <v>34.799999999999997</v>
      </c>
      <c r="K196" s="6">
        <v>27.3</v>
      </c>
      <c r="L196" s="30"/>
      <c r="M196" s="29">
        <v>813</v>
      </c>
    </row>
    <row r="197" spans="1:13" x14ac:dyDescent="0.4">
      <c r="A197" s="20">
        <v>12</v>
      </c>
      <c r="B197" s="9">
        <v>2</v>
      </c>
      <c r="C197" s="9">
        <v>7</v>
      </c>
      <c r="D197" s="10">
        <v>8</v>
      </c>
      <c r="E197" s="5">
        <v>0.5</v>
      </c>
      <c r="F197" s="5">
        <v>1.7</v>
      </c>
      <c r="G197" s="6">
        <v>28.9</v>
      </c>
      <c r="H197" s="30"/>
      <c r="I197" s="30"/>
      <c r="J197" s="6">
        <v>34.9</v>
      </c>
      <c r="K197" s="6">
        <v>26.4</v>
      </c>
      <c r="L197" s="30"/>
      <c r="M197" s="29">
        <v>813</v>
      </c>
    </row>
    <row r="198" spans="1:13" x14ac:dyDescent="0.4">
      <c r="A198" s="20">
        <v>12</v>
      </c>
      <c r="B198" s="16">
        <v>3</v>
      </c>
      <c r="C198" s="16">
        <v>1</v>
      </c>
      <c r="D198" s="10">
        <v>9</v>
      </c>
      <c r="E198" s="5">
        <v>2</v>
      </c>
      <c r="F198" s="5">
        <v>2.7</v>
      </c>
      <c r="G198" s="6">
        <v>27.5</v>
      </c>
      <c r="H198" s="30"/>
      <c r="I198" s="6">
        <v>8.6999999999999993</v>
      </c>
      <c r="J198" s="6">
        <v>30.9</v>
      </c>
      <c r="K198" s="6">
        <v>31.4</v>
      </c>
      <c r="L198" s="30"/>
      <c r="M198" s="29">
        <v>800</v>
      </c>
    </row>
    <row r="199" spans="1:13" x14ac:dyDescent="0.4">
      <c r="A199" s="20">
        <v>12</v>
      </c>
      <c r="B199" s="9">
        <v>4</v>
      </c>
      <c r="C199" s="9">
        <v>1</v>
      </c>
      <c r="D199" s="10">
        <v>10</v>
      </c>
      <c r="E199" s="5">
        <v>3.58</v>
      </c>
      <c r="F199" s="5">
        <v>1.5</v>
      </c>
      <c r="G199" s="6">
        <v>29.67</v>
      </c>
      <c r="H199" s="30"/>
      <c r="I199" s="6">
        <v>10</v>
      </c>
      <c r="J199" s="6">
        <v>36.4</v>
      </c>
      <c r="K199" s="6">
        <v>33.700000000000003</v>
      </c>
      <c r="L199" s="30"/>
      <c r="M199" s="32">
        <v>821</v>
      </c>
    </row>
    <row r="200" spans="1:13" x14ac:dyDescent="0.4">
      <c r="A200" s="13">
        <v>13</v>
      </c>
      <c r="B200" s="16">
        <v>1</v>
      </c>
      <c r="C200" s="16">
        <v>1</v>
      </c>
      <c r="D200" s="10">
        <v>1</v>
      </c>
      <c r="E200" s="33">
        <v>3.42</v>
      </c>
      <c r="F200" s="33">
        <v>3.4</v>
      </c>
      <c r="G200" s="34">
        <v>18.8</v>
      </c>
      <c r="H200" s="22"/>
      <c r="I200" s="34">
        <v>5.3</v>
      </c>
      <c r="J200" s="34">
        <v>35.200000000000003</v>
      </c>
      <c r="K200" s="34">
        <v>24.9</v>
      </c>
      <c r="L200" s="22"/>
      <c r="M200" s="34">
        <v>876</v>
      </c>
    </row>
    <row r="201" spans="1:13" x14ac:dyDescent="0.4">
      <c r="A201" s="13">
        <v>13</v>
      </c>
      <c r="B201" s="9">
        <v>2</v>
      </c>
      <c r="C201" s="9">
        <v>1</v>
      </c>
      <c r="D201" s="10">
        <v>2</v>
      </c>
      <c r="E201" s="33">
        <v>1.85</v>
      </c>
      <c r="F201" s="33">
        <v>2.7</v>
      </c>
      <c r="G201" s="34">
        <v>18.5</v>
      </c>
      <c r="H201" s="22"/>
      <c r="I201" s="22"/>
      <c r="J201" s="34">
        <v>31.5</v>
      </c>
      <c r="K201" s="34">
        <v>22.7</v>
      </c>
      <c r="L201" s="22"/>
      <c r="M201" s="34">
        <v>862</v>
      </c>
    </row>
    <row r="202" spans="1:13" x14ac:dyDescent="0.4">
      <c r="A202" s="13">
        <v>13</v>
      </c>
      <c r="B202" s="9">
        <v>2</v>
      </c>
      <c r="C202" s="9">
        <v>2</v>
      </c>
      <c r="D202" s="10">
        <v>3</v>
      </c>
      <c r="E202" s="33">
        <v>3.4</v>
      </c>
      <c r="F202" s="33">
        <v>2.8</v>
      </c>
      <c r="G202" s="34">
        <v>17.8</v>
      </c>
      <c r="H202" s="22"/>
      <c r="I202" s="22"/>
      <c r="J202" s="34">
        <v>34.4</v>
      </c>
      <c r="K202" s="34">
        <v>21.2</v>
      </c>
      <c r="L202" s="22"/>
      <c r="M202" s="34">
        <v>862</v>
      </c>
    </row>
    <row r="203" spans="1:13" x14ac:dyDescent="0.4">
      <c r="A203" s="13">
        <v>13</v>
      </c>
      <c r="B203" s="9">
        <v>2</v>
      </c>
      <c r="C203" s="9">
        <v>3</v>
      </c>
      <c r="D203" s="10">
        <v>4</v>
      </c>
      <c r="E203" s="33">
        <v>2.4</v>
      </c>
      <c r="F203" s="33">
        <v>2.4</v>
      </c>
      <c r="G203" s="34">
        <v>17.399999999999999</v>
      </c>
      <c r="H203" s="22"/>
      <c r="I203" s="22"/>
      <c r="J203" s="34">
        <v>35</v>
      </c>
      <c r="K203" s="34">
        <v>20.2</v>
      </c>
      <c r="L203" s="22"/>
      <c r="M203" s="34">
        <v>862</v>
      </c>
    </row>
    <row r="204" spans="1:13" x14ac:dyDescent="0.4">
      <c r="A204" s="13">
        <v>13</v>
      </c>
      <c r="B204" s="16">
        <v>3</v>
      </c>
      <c r="C204" s="16">
        <v>1</v>
      </c>
      <c r="D204" s="10">
        <v>5</v>
      </c>
      <c r="E204" s="33">
        <v>3.62</v>
      </c>
      <c r="F204" s="33">
        <v>3.38</v>
      </c>
      <c r="G204" s="34">
        <v>20.9</v>
      </c>
      <c r="H204" s="22"/>
      <c r="I204" s="34">
        <v>4.0999999999999996</v>
      </c>
      <c r="J204" s="34">
        <v>36</v>
      </c>
      <c r="K204" s="34">
        <v>22.18</v>
      </c>
      <c r="L204" s="22"/>
      <c r="M204" s="34">
        <v>862</v>
      </c>
    </row>
    <row r="205" spans="1:13" x14ac:dyDescent="0.4">
      <c r="A205" s="13">
        <v>13</v>
      </c>
      <c r="B205" s="9">
        <v>4</v>
      </c>
      <c r="C205" s="9">
        <v>1</v>
      </c>
      <c r="D205" s="10">
        <v>6</v>
      </c>
      <c r="E205" s="33">
        <v>2.2799999999999998</v>
      </c>
      <c r="F205" s="33">
        <v>3.24</v>
      </c>
      <c r="G205" s="34">
        <v>20.78</v>
      </c>
      <c r="H205" s="22"/>
      <c r="I205" s="34">
        <v>4.4000000000000004</v>
      </c>
      <c r="J205" s="34">
        <v>34</v>
      </c>
      <c r="K205" s="34">
        <v>22.46</v>
      </c>
      <c r="L205" s="22"/>
      <c r="M205" s="34">
        <v>862</v>
      </c>
    </row>
    <row r="206" spans="1:13" x14ac:dyDescent="0.4">
      <c r="A206" s="13">
        <v>13</v>
      </c>
      <c r="B206" s="16">
        <v>5</v>
      </c>
      <c r="C206" s="16">
        <v>1</v>
      </c>
      <c r="D206" s="10">
        <v>7</v>
      </c>
      <c r="E206" s="33">
        <v>2.79</v>
      </c>
      <c r="F206" s="33">
        <v>2.4</v>
      </c>
      <c r="G206" s="34">
        <v>18.3</v>
      </c>
      <c r="H206" s="22"/>
      <c r="I206" s="34">
        <v>3.7</v>
      </c>
      <c r="J206" s="34">
        <v>35.4</v>
      </c>
      <c r="K206" s="34">
        <v>25.14</v>
      </c>
      <c r="L206" s="22"/>
      <c r="M206" s="34">
        <v>848</v>
      </c>
    </row>
    <row r="207" spans="1:13" x14ac:dyDescent="0.4">
      <c r="A207" s="13">
        <v>13</v>
      </c>
      <c r="B207" s="9">
        <v>6</v>
      </c>
      <c r="C207" s="9">
        <v>1</v>
      </c>
      <c r="D207" s="10">
        <v>8</v>
      </c>
      <c r="E207" s="33">
        <v>2.93</v>
      </c>
      <c r="F207" s="33">
        <v>2.16</v>
      </c>
      <c r="G207" s="34">
        <v>18.100000000000001</v>
      </c>
      <c r="H207" s="22"/>
      <c r="I207" s="34">
        <v>3.5</v>
      </c>
      <c r="J207" s="34">
        <v>35.299999999999997</v>
      </c>
      <c r="K207" s="34">
        <v>22.3</v>
      </c>
      <c r="L207" s="22"/>
      <c r="M207" s="34">
        <v>876</v>
      </c>
    </row>
    <row r="208" spans="1:13" x14ac:dyDescent="0.4">
      <c r="A208" s="13">
        <v>13</v>
      </c>
      <c r="B208" s="16">
        <v>7</v>
      </c>
      <c r="C208" s="16">
        <v>1</v>
      </c>
      <c r="D208" s="10">
        <v>9</v>
      </c>
      <c r="E208" s="33">
        <v>2.67</v>
      </c>
      <c r="F208" s="33">
        <v>2.92</v>
      </c>
      <c r="G208" s="34">
        <v>19.46</v>
      </c>
      <c r="H208" s="22"/>
      <c r="I208" s="34">
        <v>4.0999999999999996</v>
      </c>
      <c r="J208" s="34">
        <v>35.950000000000003</v>
      </c>
      <c r="K208" s="34">
        <v>21.8</v>
      </c>
      <c r="L208" s="22"/>
      <c r="M208" s="34">
        <v>848</v>
      </c>
    </row>
    <row r="209" spans="1:13" x14ac:dyDescent="0.4">
      <c r="A209" s="13">
        <v>13</v>
      </c>
      <c r="B209" s="9">
        <v>8</v>
      </c>
      <c r="C209" s="9">
        <v>1</v>
      </c>
      <c r="D209" s="10">
        <v>10</v>
      </c>
      <c r="E209" s="33">
        <v>2.33</v>
      </c>
      <c r="F209" s="33">
        <v>2.71</v>
      </c>
      <c r="G209" s="34">
        <v>19.8</v>
      </c>
      <c r="H209" s="22"/>
      <c r="I209" s="34">
        <v>4.5</v>
      </c>
      <c r="J209" s="34">
        <v>36.24</v>
      </c>
      <c r="K209" s="34">
        <v>21.9</v>
      </c>
      <c r="L209" s="22"/>
      <c r="M209" s="34">
        <v>848</v>
      </c>
    </row>
    <row r="210" spans="1:13" x14ac:dyDescent="0.4">
      <c r="A210" s="13">
        <v>13</v>
      </c>
      <c r="B210" s="16">
        <v>9</v>
      </c>
      <c r="C210" s="16">
        <v>1</v>
      </c>
      <c r="D210" s="10">
        <v>11</v>
      </c>
      <c r="E210" s="33">
        <v>2.11</v>
      </c>
      <c r="F210" s="33">
        <v>2.9</v>
      </c>
      <c r="G210" s="34">
        <v>19.2</v>
      </c>
      <c r="H210" s="22"/>
      <c r="I210" s="34">
        <v>4.7</v>
      </c>
      <c r="J210" s="34">
        <v>36.1</v>
      </c>
      <c r="K210" s="34">
        <v>22.6</v>
      </c>
      <c r="L210" s="22"/>
      <c r="M210" s="34">
        <v>848</v>
      </c>
    </row>
    <row r="211" spans="1:13" x14ac:dyDescent="0.4">
      <c r="A211" s="13">
        <v>13</v>
      </c>
      <c r="B211" s="9">
        <v>10</v>
      </c>
      <c r="C211" s="9">
        <v>1</v>
      </c>
      <c r="D211" s="10">
        <v>12</v>
      </c>
      <c r="E211" s="33">
        <v>2.1800000000000002</v>
      </c>
      <c r="F211" s="33">
        <v>3.17</v>
      </c>
      <c r="G211" s="34">
        <v>18.899999999999999</v>
      </c>
      <c r="H211" s="22"/>
      <c r="I211" s="34">
        <v>3.9</v>
      </c>
      <c r="J211" s="34">
        <v>34.5</v>
      </c>
      <c r="K211" s="34">
        <v>22.5</v>
      </c>
      <c r="L211" s="22"/>
      <c r="M211" s="34">
        <v>876</v>
      </c>
    </row>
    <row r="212" spans="1:13" x14ac:dyDescent="0.4">
      <c r="A212" s="20">
        <v>14</v>
      </c>
      <c r="B212" s="16">
        <v>1</v>
      </c>
      <c r="C212" s="16">
        <v>1</v>
      </c>
      <c r="D212" s="10">
        <v>1</v>
      </c>
      <c r="E212" s="33">
        <v>6</v>
      </c>
      <c r="F212" s="35">
        <v>6.8</v>
      </c>
      <c r="G212" s="34">
        <v>69.5</v>
      </c>
      <c r="H212" s="22"/>
      <c r="I212" s="34">
        <v>6</v>
      </c>
      <c r="J212" s="34">
        <v>41.4</v>
      </c>
      <c r="K212" s="34">
        <v>25.9</v>
      </c>
      <c r="L212" s="22"/>
      <c r="M212" s="34">
        <v>935</v>
      </c>
    </row>
    <row r="213" spans="1:13" x14ac:dyDescent="0.4">
      <c r="A213" s="20">
        <v>14</v>
      </c>
      <c r="B213" s="9">
        <v>2</v>
      </c>
      <c r="C213" s="9">
        <v>1</v>
      </c>
      <c r="D213" s="10">
        <v>2</v>
      </c>
      <c r="E213" s="33">
        <v>3.66</v>
      </c>
      <c r="F213" s="33">
        <v>2.5</v>
      </c>
      <c r="G213" s="34">
        <v>59.8</v>
      </c>
      <c r="H213" s="22"/>
      <c r="I213" s="22"/>
      <c r="J213" s="34">
        <v>43.7</v>
      </c>
      <c r="K213" s="34">
        <v>26.6</v>
      </c>
      <c r="L213" s="22"/>
      <c r="M213" s="34">
        <v>1211</v>
      </c>
    </row>
    <row r="214" spans="1:13" x14ac:dyDescent="0.4">
      <c r="A214" s="20">
        <v>14</v>
      </c>
      <c r="B214" s="9">
        <v>2</v>
      </c>
      <c r="C214" s="9">
        <v>2</v>
      </c>
      <c r="D214" s="10">
        <v>3</v>
      </c>
      <c r="E214" s="33">
        <v>6.3</v>
      </c>
      <c r="F214" s="33">
        <v>3.9</v>
      </c>
      <c r="G214" s="34">
        <v>58.1</v>
      </c>
      <c r="H214" s="22"/>
      <c r="I214" s="22"/>
      <c r="J214" s="34">
        <v>44.7</v>
      </c>
      <c r="K214" s="34">
        <v>27.2</v>
      </c>
      <c r="L214" s="22"/>
      <c r="M214" s="34">
        <v>1211</v>
      </c>
    </row>
    <row r="215" spans="1:13" x14ac:dyDescent="0.4">
      <c r="A215" s="20">
        <v>14</v>
      </c>
      <c r="B215" s="9">
        <v>2</v>
      </c>
      <c r="C215" s="9">
        <v>3</v>
      </c>
      <c r="D215" s="10">
        <v>4</v>
      </c>
      <c r="E215" s="33">
        <v>4.5999999999999996</v>
      </c>
      <c r="F215" s="33">
        <v>3.4</v>
      </c>
      <c r="G215" s="34">
        <v>60.5</v>
      </c>
      <c r="H215" s="22"/>
      <c r="I215" s="22"/>
      <c r="J215" s="34">
        <v>44.7</v>
      </c>
      <c r="K215" s="34">
        <v>28.9</v>
      </c>
      <c r="L215" s="22"/>
      <c r="M215" s="34">
        <v>1211</v>
      </c>
    </row>
    <row r="216" spans="1:13" x14ac:dyDescent="0.4">
      <c r="A216" s="20">
        <v>14</v>
      </c>
      <c r="B216" s="9">
        <v>2</v>
      </c>
      <c r="C216" s="9">
        <v>4</v>
      </c>
      <c r="D216" s="10">
        <v>5</v>
      </c>
      <c r="E216" s="33">
        <v>4.0999999999999996</v>
      </c>
      <c r="F216" s="33">
        <v>3.6</v>
      </c>
      <c r="G216" s="34">
        <v>61.4</v>
      </c>
      <c r="H216" s="22"/>
      <c r="I216" s="22"/>
      <c r="J216" s="34">
        <v>43.9</v>
      </c>
      <c r="K216" s="34">
        <v>23.4</v>
      </c>
      <c r="L216" s="22"/>
      <c r="M216" s="34">
        <v>1211</v>
      </c>
    </row>
    <row r="217" spans="1:13" x14ac:dyDescent="0.4">
      <c r="A217" s="20">
        <v>14</v>
      </c>
      <c r="B217" s="9">
        <v>2</v>
      </c>
      <c r="C217" s="9">
        <v>5</v>
      </c>
      <c r="D217" s="10">
        <v>6</v>
      </c>
      <c r="E217" s="33">
        <v>3.8</v>
      </c>
      <c r="F217" s="33">
        <v>3.2</v>
      </c>
      <c r="G217" s="34">
        <v>62.6</v>
      </c>
      <c r="H217" s="22"/>
      <c r="I217" s="22"/>
      <c r="J217" s="34">
        <v>41.5</v>
      </c>
      <c r="K217" s="34">
        <v>25.3</v>
      </c>
      <c r="L217" s="22"/>
      <c r="M217" s="34">
        <v>1211</v>
      </c>
    </row>
    <row r="218" spans="1:13" x14ac:dyDescent="0.4">
      <c r="A218" s="20">
        <v>14</v>
      </c>
      <c r="B218" s="9">
        <v>2</v>
      </c>
      <c r="C218" s="9">
        <v>6</v>
      </c>
      <c r="D218" s="10">
        <v>7</v>
      </c>
      <c r="E218" s="33">
        <v>2</v>
      </c>
      <c r="F218" s="33">
        <v>2.9</v>
      </c>
      <c r="G218" s="34">
        <v>62.1</v>
      </c>
      <c r="H218" s="22"/>
      <c r="I218" s="22"/>
      <c r="J218" s="34">
        <v>41.1</v>
      </c>
      <c r="K218" s="34">
        <v>21.1</v>
      </c>
      <c r="L218" s="22"/>
      <c r="M218" s="34">
        <v>1211</v>
      </c>
    </row>
    <row r="219" spans="1:13" x14ac:dyDescent="0.4">
      <c r="A219" s="20">
        <v>14</v>
      </c>
      <c r="B219" s="9">
        <v>2</v>
      </c>
      <c r="C219" s="9">
        <v>7</v>
      </c>
      <c r="D219" s="10">
        <v>8</v>
      </c>
      <c r="E219" s="33">
        <v>1.1000000000000001</v>
      </c>
      <c r="F219" s="33">
        <v>3.8</v>
      </c>
      <c r="G219" s="34">
        <v>68.8</v>
      </c>
      <c r="H219" s="22"/>
      <c r="I219" s="22"/>
      <c r="J219" s="34">
        <v>42.3</v>
      </c>
      <c r="K219" s="34">
        <v>20.5</v>
      </c>
      <c r="L219" s="22"/>
      <c r="M219" s="34">
        <v>1211</v>
      </c>
    </row>
    <row r="220" spans="1:13" x14ac:dyDescent="0.4">
      <c r="A220" s="20">
        <v>14</v>
      </c>
      <c r="B220" s="16">
        <v>3</v>
      </c>
      <c r="C220" s="16">
        <v>1</v>
      </c>
      <c r="D220" s="10">
        <v>9</v>
      </c>
      <c r="E220" s="33">
        <v>11</v>
      </c>
      <c r="F220" s="33">
        <v>4.9400000000000004</v>
      </c>
      <c r="G220" s="34">
        <v>70</v>
      </c>
      <c r="H220" s="22"/>
      <c r="I220" s="34">
        <v>7.2</v>
      </c>
      <c r="J220" s="34">
        <v>37.1</v>
      </c>
      <c r="K220" s="34">
        <v>25</v>
      </c>
      <c r="L220" s="22"/>
      <c r="M220" s="34">
        <v>1253</v>
      </c>
    </row>
    <row r="221" spans="1:13" x14ac:dyDescent="0.4">
      <c r="A221" s="20">
        <v>14</v>
      </c>
      <c r="B221" s="9">
        <v>4</v>
      </c>
      <c r="C221" s="9">
        <v>1</v>
      </c>
      <c r="D221" s="10">
        <v>10</v>
      </c>
      <c r="E221" s="33">
        <v>9.5</v>
      </c>
      <c r="F221" s="33">
        <v>4.6500000000000004</v>
      </c>
      <c r="G221" s="34">
        <v>68.400000000000006</v>
      </c>
      <c r="H221" s="22"/>
      <c r="I221" s="34">
        <v>6.2</v>
      </c>
      <c r="J221" s="34">
        <v>39.6</v>
      </c>
      <c r="K221" s="34">
        <v>25.5</v>
      </c>
      <c r="L221" s="22"/>
      <c r="M221" s="34">
        <v>952</v>
      </c>
    </row>
    <row r="222" spans="1:13" x14ac:dyDescent="0.4">
      <c r="A222" s="20">
        <v>14</v>
      </c>
      <c r="B222" s="16">
        <v>5</v>
      </c>
      <c r="C222" s="16">
        <v>1</v>
      </c>
      <c r="D222" s="10">
        <v>11</v>
      </c>
      <c r="E222" s="33">
        <v>8.9</v>
      </c>
      <c r="F222" s="33">
        <v>6.1</v>
      </c>
      <c r="G222" s="34">
        <v>70.8</v>
      </c>
      <c r="H222" s="22"/>
      <c r="I222" s="34">
        <v>7.5</v>
      </c>
      <c r="J222" s="34">
        <v>38.200000000000003</v>
      </c>
      <c r="K222" s="34">
        <v>21.3</v>
      </c>
      <c r="L222" s="22"/>
      <c r="M222" s="34">
        <v>1142</v>
      </c>
    </row>
    <row r="223" spans="1:13" x14ac:dyDescent="0.4">
      <c r="A223" s="20">
        <v>14</v>
      </c>
      <c r="B223" s="9">
        <v>6</v>
      </c>
      <c r="C223" s="9">
        <v>1</v>
      </c>
      <c r="D223" s="10">
        <v>12</v>
      </c>
      <c r="E223" s="33">
        <v>10.3</v>
      </c>
      <c r="F223" s="33">
        <v>5.75</v>
      </c>
      <c r="G223" s="34">
        <v>70.5</v>
      </c>
      <c r="H223" s="22"/>
      <c r="I223" s="34">
        <v>3.8</v>
      </c>
      <c r="J223" s="34">
        <v>39.4</v>
      </c>
      <c r="K223" s="34">
        <v>23.4</v>
      </c>
      <c r="L223" s="22"/>
      <c r="M223" s="34">
        <v>1043</v>
      </c>
    </row>
    <row r="224" spans="1:13" x14ac:dyDescent="0.4">
      <c r="A224" s="20">
        <v>14</v>
      </c>
      <c r="B224" s="16">
        <v>7</v>
      </c>
      <c r="C224" s="16">
        <v>1</v>
      </c>
      <c r="D224" s="10">
        <v>13</v>
      </c>
      <c r="E224" s="33">
        <v>9.1</v>
      </c>
      <c r="F224" s="33">
        <v>5.54</v>
      </c>
      <c r="G224" s="34">
        <v>69.900000000000006</v>
      </c>
      <c r="H224" s="22"/>
      <c r="I224" s="34">
        <v>5.4</v>
      </c>
      <c r="J224" s="34">
        <v>40.299999999999997</v>
      </c>
      <c r="K224" s="34">
        <v>23.3</v>
      </c>
      <c r="L224" s="22"/>
      <c r="M224" s="34">
        <v>932</v>
      </c>
    </row>
    <row r="225" spans="1:13" x14ac:dyDescent="0.4">
      <c r="A225" s="20">
        <v>14</v>
      </c>
      <c r="B225" s="9">
        <v>8</v>
      </c>
      <c r="C225" s="9">
        <v>1</v>
      </c>
      <c r="D225" s="10">
        <v>14</v>
      </c>
      <c r="E225" s="33">
        <v>6.6</v>
      </c>
      <c r="F225" s="33">
        <v>6.34</v>
      </c>
      <c r="G225" s="34">
        <v>69.5</v>
      </c>
      <c r="H225" s="22"/>
      <c r="I225" s="34">
        <v>7</v>
      </c>
      <c r="J225" s="34">
        <v>40.85</v>
      </c>
      <c r="K225" s="34">
        <v>20.2</v>
      </c>
      <c r="L225" s="22"/>
      <c r="M225" s="34">
        <v>1401</v>
      </c>
    </row>
    <row r="226" spans="1:13" x14ac:dyDescent="0.4">
      <c r="A226" s="20">
        <v>14</v>
      </c>
      <c r="B226" s="16">
        <v>9</v>
      </c>
      <c r="C226" s="16">
        <v>1</v>
      </c>
      <c r="D226" s="10">
        <v>15</v>
      </c>
      <c r="E226" s="33">
        <v>8.9</v>
      </c>
      <c r="F226" s="33">
        <v>4.33</v>
      </c>
      <c r="G226" s="34">
        <v>71.900000000000006</v>
      </c>
      <c r="H226" s="22"/>
      <c r="I226" s="34">
        <v>2.6</v>
      </c>
      <c r="J226" s="34">
        <v>35</v>
      </c>
      <c r="K226" s="34">
        <v>21.4</v>
      </c>
      <c r="L226" s="22"/>
      <c r="M226" s="34">
        <v>887</v>
      </c>
    </row>
    <row r="227" spans="1:13" x14ac:dyDescent="0.4">
      <c r="A227" s="20">
        <v>14</v>
      </c>
      <c r="B227" s="9">
        <v>10</v>
      </c>
      <c r="C227" s="9">
        <v>1</v>
      </c>
      <c r="D227" s="10">
        <v>16</v>
      </c>
      <c r="E227" s="33">
        <v>7.3</v>
      </c>
      <c r="F227" s="33">
        <v>5.48</v>
      </c>
      <c r="G227" s="34">
        <v>71.3</v>
      </c>
      <c r="H227" s="22"/>
      <c r="I227" s="34">
        <v>5.7</v>
      </c>
      <c r="J227" s="34">
        <v>38.1</v>
      </c>
      <c r="K227" s="34">
        <v>25.3</v>
      </c>
      <c r="L227" s="22"/>
      <c r="M227" s="34">
        <v>1108</v>
      </c>
    </row>
    <row r="228" spans="1:13" x14ac:dyDescent="0.4">
      <c r="A228" s="13">
        <v>15</v>
      </c>
      <c r="B228" s="16">
        <v>1</v>
      </c>
      <c r="C228" s="16">
        <v>1</v>
      </c>
      <c r="D228" s="10">
        <v>1</v>
      </c>
      <c r="E228" s="33">
        <v>5.4</v>
      </c>
      <c r="F228" s="35">
        <v>2.96</v>
      </c>
      <c r="G228" s="34">
        <v>31.3</v>
      </c>
      <c r="H228" s="22"/>
      <c r="I228" s="34">
        <v>6.6</v>
      </c>
      <c r="J228" s="34">
        <v>44.9</v>
      </c>
      <c r="K228" s="34">
        <v>35.9</v>
      </c>
      <c r="L228" s="22"/>
      <c r="M228" s="34">
        <v>764</v>
      </c>
    </row>
    <row r="229" spans="1:13" x14ac:dyDescent="0.4">
      <c r="A229" s="13">
        <v>15</v>
      </c>
      <c r="B229" s="9">
        <v>2</v>
      </c>
      <c r="C229" s="9">
        <v>1</v>
      </c>
      <c r="D229" s="10">
        <v>2</v>
      </c>
      <c r="E229" s="33">
        <v>2.7</v>
      </c>
      <c r="F229" s="33">
        <v>2.1</v>
      </c>
      <c r="G229" s="34">
        <v>24</v>
      </c>
      <c r="H229" s="22"/>
      <c r="I229" s="22"/>
      <c r="J229" s="34">
        <v>36.1</v>
      </c>
      <c r="K229" s="34">
        <v>35.799999999999997</v>
      </c>
      <c r="L229" s="22"/>
      <c r="M229" s="34">
        <v>564</v>
      </c>
    </row>
    <row r="230" spans="1:13" x14ac:dyDescent="0.4">
      <c r="A230" s="13">
        <v>15</v>
      </c>
      <c r="B230" s="9">
        <v>2</v>
      </c>
      <c r="C230" s="9">
        <v>2</v>
      </c>
      <c r="D230" s="10">
        <v>3</v>
      </c>
      <c r="E230" s="33">
        <v>1.6</v>
      </c>
      <c r="F230" s="33">
        <v>2.8</v>
      </c>
      <c r="G230" s="34">
        <v>25.2</v>
      </c>
      <c r="H230" s="22"/>
      <c r="I230" s="22"/>
      <c r="J230" s="34">
        <v>36.6</v>
      </c>
      <c r="K230" s="34">
        <v>30.7</v>
      </c>
      <c r="L230" s="22"/>
      <c r="M230" s="34">
        <v>564</v>
      </c>
    </row>
    <row r="231" spans="1:13" x14ac:dyDescent="0.4">
      <c r="A231" s="13">
        <v>15</v>
      </c>
      <c r="B231" s="9">
        <v>2</v>
      </c>
      <c r="C231" s="9">
        <v>3</v>
      </c>
      <c r="D231" s="10">
        <v>4</v>
      </c>
      <c r="E231" s="33">
        <v>1.3</v>
      </c>
      <c r="F231" s="33">
        <v>1.9</v>
      </c>
      <c r="G231" s="34">
        <v>28.5</v>
      </c>
      <c r="H231" s="22"/>
      <c r="I231" s="22"/>
      <c r="J231" s="34">
        <v>38.1</v>
      </c>
      <c r="K231" s="34">
        <v>28.4</v>
      </c>
      <c r="L231" s="22"/>
      <c r="M231" s="34">
        <v>564</v>
      </c>
    </row>
    <row r="232" spans="1:13" x14ac:dyDescent="0.4">
      <c r="A232" s="13">
        <v>15</v>
      </c>
      <c r="B232" s="9">
        <v>2</v>
      </c>
      <c r="C232" s="9">
        <v>4</v>
      </c>
      <c r="D232" s="10">
        <v>5</v>
      </c>
      <c r="E232" s="33">
        <v>1</v>
      </c>
      <c r="F232" s="33">
        <v>2.6</v>
      </c>
      <c r="G232" s="34">
        <v>28.8</v>
      </c>
      <c r="H232" s="22"/>
      <c r="I232" s="22"/>
      <c r="J232" s="34">
        <v>40.1</v>
      </c>
      <c r="K232" s="34">
        <v>24.5</v>
      </c>
      <c r="L232" s="22"/>
      <c r="M232" s="34">
        <v>564</v>
      </c>
    </row>
    <row r="233" spans="1:13" x14ac:dyDescent="0.4">
      <c r="A233" s="13">
        <v>15</v>
      </c>
      <c r="B233" s="9">
        <v>2</v>
      </c>
      <c r="C233" s="9">
        <v>5</v>
      </c>
      <c r="D233" s="10">
        <v>6</v>
      </c>
      <c r="E233" s="33">
        <v>2</v>
      </c>
      <c r="F233" s="33">
        <v>2.2000000000000002</v>
      </c>
      <c r="G233" s="34">
        <v>29.9</v>
      </c>
      <c r="H233" s="22"/>
      <c r="I233" s="22"/>
      <c r="J233" s="34">
        <v>39.6</v>
      </c>
      <c r="K233" s="34">
        <v>23.3</v>
      </c>
      <c r="L233" s="22"/>
      <c r="M233" s="34">
        <v>564</v>
      </c>
    </row>
    <row r="234" spans="1:13" x14ac:dyDescent="0.4">
      <c r="A234" s="13">
        <v>15</v>
      </c>
      <c r="B234" s="9">
        <v>2</v>
      </c>
      <c r="C234" s="9">
        <v>6</v>
      </c>
      <c r="D234" s="10">
        <v>7</v>
      </c>
      <c r="E234" s="33">
        <v>1.4</v>
      </c>
      <c r="F234" s="33">
        <v>1.9</v>
      </c>
      <c r="G234" s="34">
        <v>29.1</v>
      </c>
      <c r="H234" s="22"/>
      <c r="I234" s="22"/>
      <c r="J234" s="34">
        <v>40.799999999999997</v>
      </c>
      <c r="K234" s="34">
        <v>22.6</v>
      </c>
      <c r="L234" s="22"/>
      <c r="M234" s="34">
        <v>564</v>
      </c>
    </row>
    <row r="235" spans="1:13" x14ac:dyDescent="0.4">
      <c r="A235" s="13">
        <v>15</v>
      </c>
      <c r="B235" s="16">
        <v>3</v>
      </c>
      <c r="C235" s="16">
        <v>1</v>
      </c>
      <c r="D235" s="10">
        <v>8</v>
      </c>
      <c r="E235" s="33">
        <v>3.5</v>
      </c>
      <c r="F235" s="33">
        <v>3.48</v>
      </c>
      <c r="G235" s="34">
        <v>30.8</v>
      </c>
      <c r="H235" s="22"/>
      <c r="I235" s="34">
        <v>6.9</v>
      </c>
      <c r="J235" s="34">
        <v>42.4</v>
      </c>
      <c r="K235" s="34">
        <v>46.7</v>
      </c>
      <c r="L235" s="22"/>
      <c r="M235" s="34">
        <v>742</v>
      </c>
    </row>
    <row r="236" spans="1:13" x14ac:dyDescent="0.4">
      <c r="A236" s="13">
        <v>15</v>
      </c>
      <c r="B236" s="9">
        <v>4</v>
      </c>
      <c r="C236" s="9">
        <v>1</v>
      </c>
      <c r="D236" s="10">
        <v>9</v>
      </c>
      <c r="E236" s="33">
        <v>4.13</v>
      </c>
      <c r="F236" s="33">
        <v>2.11</v>
      </c>
      <c r="G236" s="34">
        <v>30.8</v>
      </c>
      <c r="H236" s="22"/>
      <c r="I236" s="34">
        <v>6.6</v>
      </c>
      <c r="J236" s="34">
        <v>39.799999999999997</v>
      </c>
      <c r="K236" s="34">
        <v>33.299999999999997</v>
      </c>
      <c r="L236" s="22"/>
      <c r="M236" s="34">
        <v>666</v>
      </c>
    </row>
    <row r="237" spans="1:13" x14ac:dyDescent="0.4">
      <c r="A237" s="13">
        <v>15</v>
      </c>
      <c r="B237" s="16">
        <v>5</v>
      </c>
      <c r="C237" s="16">
        <v>1</v>
      </c>
      <c r="D237" s="10">
        <v>10</v>
      </c>
      <c r="E237" s="33">
        <v>2.88</v>
      </c>
      <c r="F237" s="33">
        <v>2.33</v>
      </c>
      <c r="G237" s="34">
        <v>29.6</v>
      </c>
      <c r="H237" s="22"/>
      <c r="I237" s="34">
        <v>6</v>
      </c>
      <c r="J237" s="34">
        <v>41.5</v>
      </c>
      <c r="K237" s="34">
        <v>36.299999999999997</v>
      </c>
      <c r="L237" s="22"/>
      <c r="M237" s="34">
        <v>786</v>
      </c>
    </row>
    <row r="238" spans="1:13" x14ac:dyDescent="0.4">
      <c r="A238" s="13">
        <v>15</v>
      </c>
      <c r="B238" s="9">
        <v>6</v>
      </c>
      <c r="C238" s="9">
        <v>1</v>
      </c>
      <c r="D238" s="10">
        <v>11</v>
      </c>
      <c r="E238" s="33">
        <v>4</v>
      </c>
      <c r="F238" s="33">
        <v>2.6</v>
      </c>
      <c r="G238" s="34">
        <v>31.5</v>
      </c>
      <c r="H238" s="22"/>
      <c r="I238" s="34">
        <v>5.9</v>
      </c>
      <c r="J238" s="34">
        <v>45</v>
      </c>
      <c r="K238" s="34">
        <v>35.6</v>
      </c>
      <c r="L238" s="22"/>
      <c r="M238" s="34">
        <v>786</v>
      </c>
    </row>
    <row r="239" spans="1:13" x14ac:dyDescent="0.4">
      <c r="A239" s="13">
        <v>15</v>
      </c>
      <c r="B239" s="16">
        <v>7</v>
      </c>
      <c r="C239" s="16">
        <v>1</v>
      </c>
      <c r="D239" s="10">
        <v>12</v>
      </c>
      <c r="E239" s="33">
        <v>3.2</v>
      </c>
      <c r="F239" s="33">
        <v>2.8</v>
      </c>
      <c r="G239" s="34">
        <v>31.3</v>
      </c>
      <c r="H239" s="22"/>
      <c r="I239" s="22"/>
      <c r="J239" s="34">
        <v>39.799999999999997</v>
      </c>
      <c r="K239" s="34">
        <v>33.200000000000003</v>
      </c>
      <c r="L239" s="22"/>
      <c r="M239" s="34">
        <v>684</v>
      </c>
    </row>
    <row r="240" spans="1:13" x14ac:dyDescent="0.4">
      <c r="A240" s="20">
        <v>16</v>
      </c>
      <c r="B240" s="9">
        <v>1</v>
      </c>
      <c r="C240" s="9">
        <v>1</v>
      </c>
      <c r="D240" s="10">
        <v>1</v>
      </c>
      <c r="E240" s="33">
        <v>2.81</v>
      </c>
      <c r="F240" s="33">
        <v>3.3</v>
      </c>
      <c r="G240" s="34">
        <v>22.9</v>
      </c>
      <c r="H240" s="22"/>
      <c r="I240" s="34">
        <v>9.3000000000000007</v>
      </c>
      <c r="J240" s="34">
        <v>38</v>
      </c>
      <c r="K240" s="34">
        <v>27.3</v>
      </c>
      <c r="L240" s="22"/>
      <c r="M240" s="34">
        <v>1024</v>
      </c>
    </row>
    <row r="241" spans="1:13" x14ac:dyDescent="0.4">
      <c r="A241" s="20">
        <v>16</v>
      </c>
      <c r="B241" s="16">
        <v>2</v>
      </c>
      <c r="C241" s="16">
        <v>1</v>
      </c>
      <c r="D241" s="10">
        <v>2</v>
      </c>
      <c r="E241" s="33">
        <v>0.2</v>
      </c>
      <c r="F241" s="33">
        <v>1</v>
      </c>
      <c r="G241" s="34">
        <v>19.8</v>
      </c>
      <c r="H241" s="22"/>
      <c r="I241" s="22"/>
      <c r="J241" s="34">
        <v>34.1</v>
      </c>
      <c r="K241" s="34">
        <v>26.8</v>
      </c>
      <c r="L241" s="22"/>
      <c r="M241" s="34">
        <v>447</v>
      </c>
    </row>
    <row r="242" spans="1:13" x14ac:dyDescent="0.4">
      <c r="A242" s="20">
        <v>16</v>
      </c>
      <c r="B242" s="16">
        <v>2</v>
      </c>
      <c r="C242" s="16">
        <v>2</v>
      </c>
      <c r="D242" s="10">
        <v>3</v>
      </c>
      <c r="E242" s="33">
        <v>4.8</v>
      </c>
      <c r="F242" s="33">
        <v>1.2</v>
      </c>
      <c r="G242" s="34">
        <v>20.399999999999999</v>
      </c>
      <c r="H242" s="22"/>
      <c r="I242" s="22"/>
      <c r="J242" s="34">
        <v>33.4</v>
      </c>
      <c r="K242" s="34">
        <v>26.2</v>
      </c>
      <c r="L242" s="22"/>
      <c r="M242" s="34">
        <v>447</v>
      </c>
    </row>
    <row r="243" spans="1:13" x14ac:dyDescent="0.4">
      <c r="A243" s="20">
        <v>16</v>
      </c>
      <c r="B243" s="16">
        <v>2</v>
      </c>
      <c r="C243" s="16">
        <v>3</v>
      </c>
      <c r="D243" s="10">
        <v>4</v>
      </c>
      <c r="E243" s="33">
        <v>2.9</v>
      </c>
      <c r="F243" s="33">
        <v>3.9</v>
      </c>
      <c r="G243" s="34">
        <v>19.5</v>
      </c>
      <c r="H243" s="22"/>
      <c r="I243" s="22"/>
      <c r="J243" s="34">
        <v>32.700000000000003</v>
      </c>
      <c r="K243" s="34">
        <v>25.2</v>
      </c>
      <c r="L243" s="22"/>
      <c r="M243" s="34">
        <v>447</v>
      </c>
    </row>
    <row r="244" spans="1:13" x14ac:dyDescent="0.4">
      <c r="A244" s="20">
        <v>16</v>
      </c>
      <c r="B244" s="16">
        <v>2</v>
      </c>
      <c r="C244" s="16">
        <v>4</v>
      </c>
      <c r="D244" s="10">
        <v>5</v>
      </c>
      <c r="E244" s="33">
        <v>4.4000000000000004</v>
      </c>
      <c r="F244" s="33">
        <v>3.2</v>
      </c>
      <c r="G244" s="34">
        <v>19.600000000000001</v>
      </c>
      <c r="H244" s="22"/>
      <c r="I244" s="22"/>
      <c r="J244" s="34">
        <v>32.6</v>
      </c>
      <c r="K244" s="34">
        <v>23.3</v>
      </c>
      <c r="L244" s="22"/>
      <c r="M244" s="34">
        <v>447</v>
      </c>
    </row>
    <row r="245" spans="1:13" x14ac:dyDescent="0.4">
      <c r="A245" s="20">
        <v>16</v>
      </c>
      <c r="B245" s="16">
        <v>2</v>
      </c>
      <c r="C245" s="16">
        <v>5</v>
      </c>
      <c r="D245" s="10">
        <v>6</v>
      </c>
      <c r="E245" s="33">
        <v>2.6</v>
      </c>
      <c r="F245" s="33">
        <v>2.8</v>
      </c>
      <c r="G245" s="34">
        <v>20.399999999999999</v>
      </c>
      <c r="H245" s="22"/>
      <c r="I245" s="22"/>
      <c r="J245" s="34">
        <v>32.700000000000003</v>
      </c>
      <c r="K245" s="34">
        <v>22.6</v>
      </c>
      <c r="L245" s="22"/>
      <c r="M245" s="34">
        <v>447</v>
      </c>
    </row>
    <row r="246" spans="1:13" x14ac:dyDescent="0.4">
      <c r="A246" s="20">
        <v>16</v>
      </c>
      <c r="B246" s="16">
        <v>2</v>
      </c>
      <c r="C246" s="16">
        <v>6</v>
      </c>
      <c r="D246" s="10">
        <v>7</v>
      </c>
      <c r="E246" s="33">
        <v>2.2000000000000002</v>
      </c>
      <c r="F246" s="33">
        <v>3.2</v>
      </c>
      <c r="G246" s="34">
        <v>21.4</v>
      </c>
      <c r="H246" s="22"/>
      <c r="I246" s="22"/>
      <c r="J246" s="34">
        <v>31.9</v>
      </c>
      <c r="K246" s="34">
        <v>21.8</v>
      </c>
      <c r="L246" s="22"/>
      <c r="M246" s="34">
        <v>447</v>
      </c>
    </row>
    <row r="247" spans="1:13" x14ac:dyDescent="0.4">
      <c r="A247" s="20">
        <v>16</v>
      </c>
      <c r="B247" s="9">
        <v>3</v>
      </c>
      <c r="C247" s="9">
        <v>1</v>
      </c>
      <c r="D247" s="10">
        <v>8</v>
      </c>
      <c r="E247" s="33">
        <v>4.25</v>
      </c>
      <c r="F247" s="33">
        <v>3.5</v>
      </c>
      <c r="G247" s="34">
        <v>21.6</v>
      </c>
      <c r="H247" s="22"/>
      <c r="I247" s="34">
        <v>7.6</v>
      </c>
      <c r="J247" s="34">
        <v>37.6</v>
      </c>
      <c r="K247" s="34">
        <v>25.7</v>
      </c>
      <c r="L247" s="22"/>
      <c r="M247" s="34">
        <v>1197</v>
      </c>
    </row>
    <row r="248" spans="1:13" x14ac:dyDescent="0.4">
      <c r="A248" s="20">
        <v>16</v>
      </c>
      <c r="B248" s="16">
        <v>4</v>
      </c>
      <c r="C248" s="16">
        <v>1</v>
      </c>
      <c r="D248" s="10">
        <v>9</v>
      </c>
      <c r="E248" s="33">
        <v>5.0999999999999996</v>
      </c>
      <c r="F248" s="33">
        <v>3.4</v>
      </c>
      <c r="G248" s="34">
        <v>22.5</v>
      </c>
      <c r="H248" s="22"/>
      <c r="I248" s="34">
        <v>10.1</v>
      </c>
      <c r="J248" s="34">
        <v>35.6</v>
      </c>
      <c r="K248" s="34">
        <v>30.1</v>
      </c>
      <c r="L248" s="22"/>
      <c r="M248" s="34">
        <v>1024</v>
      </c>
    </row>
    <row r="249" spans="1:13" x14ac:dyDescent="0.4">
      <c r="A249" s="20">
        <v>16</v>
      </c>
      <c r="B249" s="9">
        <v>5</v>
      </c>
      <c r="C249" s="9">
        <v>1</v>
      </c>
      <c r="D249" s="10">
        <v>10</v>
      </c>
      <c r="E249" s="33">
        <v>4</v>
      </c>
      <c r="F249" s="33">
        <v>3.1</v>
      </c>
      <c r="G249" s="34">
        <v>18.5</v>
      </c>
      <c r="H249" s="22"/>
      <c r="I249" s="34">
        <v>8.3000000000000007</v>
      </c>
      <c r="J249" s="34">
        <v>36.200000000000003</v>
      </c>
      <c r="K249" s="34">
        <v>28.6</v>
      </c>
      <c r="L249" s="22"/>
      <c r="M249" s="34">
        <v>1039</v>
      </c>
    </row>
    <row r="250" spans="1:13" x14ac:dyDescent="0.4">
      <c r="A250" s="20">
        <v>16</v>
      </c>
      <c r="B250" s="16">
        <v>6</v>
      </c>
      <c r="C250" s="16">
        <v>1</v>
      </c>
      <c r="D250" s="10">
        <v>11</v>
      </c>
      <c r="E250" s="33">
        <v>2.8</v>
      </c>
      <c r="F250" s="33">
        <v>3.4</v>
      </c>
      <c r="G250" s="34">
        <v>22.3</v>
      </c>
      <c r="H250" s="22"/>
      <c r="I250" s="34">
        <v>10.199999999999999</v>
      </c>
      <c r="J250" s="34">
        <v>35</v>
      </c>
      <c r="K250" s="34">
        <v>23</v>
      </c>
      <c r="L250" s="22"/>
      <c r="M250" s="34">
        <v>1039</v>
      </c>
    </row>
    <row r="251" spans="1:13" x14ac:dyDescent="0.4">
      <c r="A251" s="20">
        <v>16</v>
      </c>
      <c r="B251" s="9">
        <v>7</v>
      </c>
      <c r="C251" s="9">
        <v>1</v>
      </c>
      <c r="D251" s="10">
        <v>12</v>
      </c>
      <c r="E251" s="33">
        <v>3.9</v>
      </c>
      <c r="F251" s="33">
        <v>4.2</v>
      </c>
      <c r="G251" s="34">
        <v>20.3</v>
      </c>
      <c r="H251" s="22"/>
      <c r="I251" s="34">
        <v>10.5</v>
      </c>
      <c r="J251" s="34">
        <v>34.4</v>
      </c>
      <c r="K251" s="34">
        <v>23.1</v>
      </c>
      <c r="L251" s="22"/>
      <c r="M251" s="34">
        <v>1039</v>
      </c>
    </row>
    <row r="252" spans="1:13" x14ac:dyDescent="0.4">
      <c r="A252" s="20">
        <v>16</v>
      </c>
      <c r="B252" s="16">
        <v>8</v>
      </c>
      <c r="C252" s="16">
        <v>1</v>
      </c>
      <c r="D252" s="10">
        <v>13</v>
      </c>
      <c r="E252" s="33">
        <v>3.6</v>
      </c>
      <c r="F252" s="33">
        <v>3.2</v>
      </c>
      <c r="G252" s="34">
        <v>18</v>
      </c>
      <c r="H252" s="22"/>
      <c r="I252" s="34">
        <v>8.4</v>
      </c>
      <c r="J252" s="34">
        <v>36.299999999999997</v>
      </c>
      <c r="K252" s="34">
        <v>22.3</v>
      </c>
      <c r="L252" s="22"/>
      <c r="M252" s="34">
        <v>1039</v>
      </c>
    </row>
    <row r="253" spans="1:13" x14ac:dyDescent="0.4">
      <c r="A253" s="20">
        <v>16</v>
      </c>
      <c r="B253" s="9">
        <v>9</v>
      </c>
      <c r="C253" s="9">
        <v>1</v>
      </c>
      <c r="D253" s="10">
        <v>14</v>
      </c>
      <c r="E253" s="33">
        <v>4.5999999999999996</v>
      </c>
      <c r="F253" s="33">
        <v>3.9</v>
      </c>
      <c r="G253" s="34">
        <v>15.3</v>
      </c>
      <c r="H253" s="22"/>
      <c r="I253" s="34">
        <v>11.8</v>
      </c>
      <c r="J253" s="34">
        <v>31</v>
      </c>
      <c r="K253" s="34">
        <v>21.9</v>
      </c>
      <c r="L253" s="22"/>
      <c r="M253" s="34">
        <v>436</v>
      </c>
    </row>
    <row r="254" spans="1:13" x14ac:dyDescent="0.4">
      <c r="A254" s="20">
        <v>16</v>
      </c>
      <c r="B254" s="16">
        <v>10</v>
      </c>
      <c r="C254" s="16">
        <v>1</v>
      </c>
      <c r="D254" s="10">
        <v>15</v>
      </c>
      <c r="E254" s="33">
        <v>3.3</v>
      </c>
      <c r="F254" s="33">
        <v>3.8</v>
      </c>
      <c r="G254" s="34">
        <v>16.899999999999999</v>
      </c>
      <c r="H254" s="22"/>
      <c r="I254" s="34">
        <v>7.7</v>
      </c>
      <c r="J254" s="34">
        <v>35.700000000000003</v>
      </c>
      <c r="K254" s="34">
        <v>20.8</v>
      </c>
      <c r="L254" s="22"/>
      <c r="M254" s="34">
        <v>1201</v>
      </c>
    </row>
    <row r="255" spans="1:13" x14ac:dyDescent="0.4">
      <c r="A255" s="13">
        <v>17</v>
      </c>
      <c r="B255" s="9">
        <v>1</v>
      </c>
      <c r="C255" s="9">
        <v>1</v>
      </c>
      <c r="D255" s="10">
        <v>1</v>
      </c>
      <c r="E255" s="11">
        <v>7.7</v>
      </c>
      <c r="F255" s="11">
        <v>4.7</v>
      </c>
      <c r="G255" s="12">
        <v>30.5</v>
      </c>
      <c r="H255" s="22"/>
      <c r="I255" s="9">
        <v>0</v>
      </c>
      <c r="J255" s="12">
        <v>30.4</v>
      </c>
      <c r="K255" s="12">
        <v>18.7</v>
      </c>
      <c r="L255" s="22"/>
      <c r="M255" s="12">
        <v>1368</v>
      </c>
    </row>
    <row r="256" spans="1:13" x14ac:dyDescent="0.4">
      <c r="A256" s="13">
        <v>17</v>
      </c>
      <c r="B256" s="16">
        <v>2</v>
      </c>
      <c r="C256" s="16">
        <v>1</v>
      </c>
      <c r="D256" s="10">
        <v>2</v>
      </c>
      <c r="E256" s="11">
        <v>2.8</v>
      </c>
      <c r="F256" s="11">
        <v>3</v>
      </c>
      <c r="G256" s="12">
        <v>31.5</v>
      </c>
      <c r="H256" s="22"/>
      <c r="I256" s="22"/>
      <c r="J256" s="12">
        <v>38.1</v>
      </c>
      <c r="K256" s="12">
        <v>22.8</v>
      </c>
      <c r="L256" s="22"/>
      <c r="M256" s="12">
        <v>894</v>
      </c>
    </row>
    <row r="257" spans="1:13" x14ac:dyDescent="0.4">
      <c r="A257" s="13">
        <v>17</v>
      </c>
      <c r="B257" s="16">
        <v>2</v>
      </c>
      <c r="C257" s="16">
        <v>2</v>
      </c>
      <c r="D257" s="10">
        <v>3</v>
      </c>
      <c r="E257" s="11">
        <v>3.2</v>
      </c>
      <c r="F257" s="11">
        <v>3.3</v>
      </c>
      <c r="G257" s="12">
        <v>30.1</v>
      </c>
      <c r="H257" s="22"/>
      <c r="I257" s="22"/>
      <c r="J257" s="12">
        <v>36.299999999999997</v>
      </c>
      <c r="K257" s="12">
        <v>21.5</v>
      </c>
      <c r="L257" s="22"/>
      <c r="M257" s="12">
        <v>894</v>
      </c>
    </row>
    <row r="258" spans="1:13" x14ac:dyDescent="0.4">
      <c r="A258" s="13">
        <v>17</v>
      </c>
      <c r="B258" s="16">
        <v>2</v>
      </c>
      <c r="C258" s="16">
        <v>3</v>
      </c>
      <c r="D258" s="10">
        <v>4</v>
      </c>
      <c r="E258" s="11">
        <v>1</v>
      </c>
      <c r="F258" s="11">
        <v>2.5</v>
      </c>
      <c r="G258" s="12">
        <v>30.9</v>
      </c>
      <c r="H258" s="22"/>
      <c r="I258" s="22"/>
      <c r="J258" s="12">
        <v>38.1</v>
      </c>
      <c r="K258" s="12">
        <v>16.7</v>
      </c>
      <c r="L258" s="22"/>
      <c r="M258" s="12">
        <v>894</v>
      </c>
    </row>
    <row r="259" spans="1:13" x14ac:dyDescent="0.4">
      <c r="A259" s="13">
        <v>17</v>
      </c>
      <c r="B259" s="16">
        <v>2</v>
      </c>
      <c r="C259" s="16">
        <v>4</v>
      </c>
      <c r="D259" s="10">
        <v>5</v>
      </c>
      <c r="E259" s="11">
        <v>4.7</v>
      </c>
      <c r="F259" s="11">
        <v>4.4000000000000004</v>
      </c>
      <c r="G259" s="12">
        <v>31.37</v>
      </c>
      <c r="H259" s="22"/>
      <c r="I259" s="22"/>
      <c r="J259" s="12">
        <v>36.200000000000003</v>
      </c>
      <c r="K259" s="12">
        <v>17.3</v>
      </c>
      <c r="L259" s="22"/>
      <c r="M259" s="12">
        <v>894</v>
      </c>
    </row>
    <row r="260" spans="1:13" x14ac:dyDescent="0.4">
      <c r="A260" s="13">
        <v>17</v>
      </c>
      <c r="B260" s="16">
        <v>2</v>
      </c>
      <c r="C260" s="16">
        <v>5</v>
      </c>
      <c r="D260" s="10">
        <v>6</v>
      </c>
      <c r="E260" s="11">
        <v>6.4</v>
      </c>
      <c r="F260" s="11">
        <v>4.4000000000000004</v>
      </c>
      <c r="G260" s="12">
        <v>28.4</v>
      </c>
      <c r="H260" s="22"/>
      <c r="I260" s="22"/>
      <c r="J260" s="12">
        <v>35.1</v>
      </c>
      <c r="K260" s="12">
        <v>13.3</v>
      </c>
      <c r="L260" s="22"/>
      <c r="M260" s="12">
        <v>894</v>
      </c>
    </row>
    <row r="261" spans="1:13" x14ac:dyDescent="0.4">
      <c r="A261" s="13">
        <v>17</v>
      </c>
      <c r="B261" s="9">
        <v>3</v>
      </c>
      <c r="C261" s="9">
        <v>1</v>
      </c>
      <c r="D261" s="10">
        <v>7</v>
      </c>
      <c r="E261" s="11">
        <v>7</v>
      </c>
      <c r="F261" s="11">
        <v>3</v>
      </c>
      <c r="G261" s="12">
        <v>31.8</v>
      </c>
      <c r="H261" s="22"/>
      <c r="I261" s="12">
        <v>0</v>
      </c>
      <c r="J261" s="12">
        <v>33.700000000000003</v>
      </c>
      <c r="K261" s="12">
        <v>19.5</v>
      </c>
      <c r="L261" s="22"/>
      <c r="M261" s="12">
        <v>1133</v>
      </c>
    </row>
    <row r="262" spans="1:13" x14ac:dyDescent="0.4">
      <c r="A262" s="13">
        <v>17</v>
      </c>
      <c r="B262" s="16">
        <v>4</v>
      </c>
      <c r="C262" s="16">
        <v>1</v>
      </c>
      <c r="D262" s="10">
        <v>8</v>
      </c>
      <c r="E262" s="11">
        <v>6.6</v>
      </c>
      <c r="F262" s="11">
        <v>3.7</v>
      </c>
      <c r="G262" s="12">
        <v>27.6</v>
      </c>
      <c r="H262" s="22"/>
      <c r="I262" s="12">
        <v>2.8</v>
      </c>
      <c r="J262" s="12">
        <v>34.799999999999997</v>
      </c>
      <c r="K262" s="12">
        <v>17</v>
      </c>
      <c r="L262" s="22"/>
      <c r="M262" s="12">
        <v>1087</v>
      </c>
    </row>
    <row r="263" spans="1:13" x14ac:dyDescent="0.4">
      <c r="A263" s="13">
        <v>17</v>
      </c>
      <c r="B263" s="9">
        <v>5</v>
      </c>
      <c r="C263" s="9">
        <v>1</v>
      </c>
      <c r="D263" s="10">
        <v>9</v>
      </c>
      <c r="E263" s="11">
        <v>6.8</v>
      </c>
      <c r="F263" s="11">
        <v>3.5</v>
      </c>
      <c r="G263" s="12">
        <v>29.7</v>
      </c>
      <c r="H263" s="22"/>
      <c r="I263" s="12">
        <v>2.2999999999999998</v>
      </c>
      <c r="J263" s="12">
        <v>30.3</v>
      </c>
      <c r="K263" s="12">
        <v>19.3</v>
      </c>
      <c r="L263" s="22"/>
      <c r="M263" s="12">
        <v>802</v>
      </c>
    </row>
    <row r="264" spans="1:13" x14ac:dyDescent="0.4">
      <c r="A264" s="13">
        <v>17</v>
      </c>
      <c r="B264" s="16">
        <v>6</v>
      </c>
      <c r="C264" s="16">
        <v>1</v>
      </c>
      <c r="D264" s="10">
        <v>10</v>
      </c>
      <c r="E264" s="11">
        <v>5.7</v>
      </c>
      <c r="F264" s="11">
        <v>3.78</v>
      </c>
      <c r="G264" s="12">
        <v>29</v>
      </c>
      <c r="H264" s="22"/>
      <c r="I264" s="12">
        <v>3</v>
      </c>
      <c r="J264" s="12">
        <v>32.4</v>
      </c>
      <c r="K264" s="12">
        <v>17.600000000000001</v>
      </c>
      <c r="L264" s="22"/>
      <c r="M264" s="12">
        <v>1382</v>
      </c>
    </row>
    <row r="265" spans="1:13" x14ac:dyDescent="0.4">
      <c r="A265" s="13">
        <v>17</v>
      </c>
      <c r="B265" s="9">
        <v>7</v>
      </c>
      <c r="C265" s="9">
        <v>1</v>
      </c>
      <c r="D265" s="10">
        <v>11</v>
      </c>
      <c r="E265" s="11">
        <v>6.2</v>
      </c>
      <c r="F265" s="11">
        <v>3.5</v>
      </c>
      <c r="G265" s="12">
        <v>28</v>
      </c>
      <c r="H265" s="22"/>
      <c r="I265" s="12">
        <v>0</v>
      </c>
      <c r="J265" s="12">
        <v>34.6</v>
      </c>
      <c r="K265" s="12">
        <v>16.5</v>
      </c>
      <c r="L265" s="22"/>
      <c r="M265" s="12">
        <v>540</v>
      </c>
    </row>
    <row r="266" spans="1:13" x14ac:dyDescent="0.4">
      <c r="A266" s="13">
        <v>17</v>
      </c>
      <c r="B266" s="16">
        <v>8</v>
      </c>
      <c r="C266" s="16">
        <v>1</v>
      </c>
      <c r="D266" s="10">
        <v>12</v>
      </c>
      <c r="E266" s="11">
        <v>8.5</v>
      </c>
      <c r="F266" s="11">
        <v>4</v>
      </c>
      <c r="G266" s="12">
        <v>30.6</v>
      </c>
      <c r="H266" s="22"/>
      <c r="I266" s="12">
        <v>2.1</v>
      </c>
      <c r="J266" s="12">
        <v>33.5</v>
      </c>
      <c r="K266" s="12">
        <v>19.7</v>
      </c>
      <c r="L266" s="22"/>
      <c r="M266" s="12">
        <v>1200</v>
      </c>
    </row>
    <row r="267" spans="1:13" x14ac:dyDescent="0.4">
      <c r="A267" s="13">
        <v>17</v>
      </c>
      <c r="B267" s="9">
        <v>9</v>
      </c>
      <c r="C267" s="9">
        <v>1</v>
      </c>
      <c r="D267" s="10">
        <v>13</v>
      </c>
      <c r="E267" s="11">
        <v>6.8</v>
      </c>
      <c r="F267" s="11">
        <v>3.5</v>
      </c>
      <c r="G267" s="12">
        <v>34</v>
      </c>
      <c r="H267" s="22"/>
      <c r="I267" s="12">
        <v>5.7</v>
      </c>
      <c r="J267" s="12">
        <v>36.700000000000003</v>
      </c>
      <c r="K267" s="12">
        <v>23.9</v>
      </c>
      <c r="L267" s="22"/>
      <c r="M267" s="12">
        <v>1568</v>
      </c>
    </row>
    <row r="268" spans="1:13" x14ac:dyDescent="0.4">
      <c r="A268" s="13">
        <v>17</v>
      </c>
      <c r="B268" s="16">
        <v>10</v>
      </c>
      <c r="C268" s="16">
        <v>1</v>
      </c>
      <c r="D268" s="10">
        <v>14</v>
      </c>
      <c r="E268" s="11">
        <v>4.7</v>
      </c>
      <c r="F268" s="11">
        <v>4.0999999999999996</v>
      </c>
      <c r="G268" s="12">
        <v>30.4</v>
      </c>
      <c r="H268" s="22"/>
      <c r="I268" s="12">
        <v>2.7</v>
      </c>
      <c r="J268" s="12">
        <v>33.5</v>
      </c>
      <c r="K268" s="12">
        <v>16.5</v>
      </c>
      <c r="L268" s="22"/>
      <c r="M268" s="12">
        <v>625</v>
      </c>
    </row>
    <row r="269" spans="1:13" x14ac:dyDescent="0.4">
      <c r="A269" s="20">
        <v>18</v>
      </c>
      <c r="B269" s="9">
        <v>1</v>
      </c>
      <c r="C269" s="9">
        <v>1</v>
      </c>
      <c r="D269" s="10">
        <v>1</v>
      </c>
      <c r="E269" s="11">
        <v>2.6</v>
      </c>
      <c r="F269" s="15">
        <v>3</v>
      </c>
      <c r="G269" s="12">
        <v>29.6</v>
      </c>
      <c r="H269" s="22"/>
      <c r="I269" s="12">
        <v>5</v>
      </c>
      <c r="J269" s="12">
        <v>41.6</v>
      </c>
      <c r="K269" s="12">
        <v>29.18</v>
      </c>
      <c r="L269" s="22"/>
      <c r="M269" s="12">
        <v>1065</v>
      </c>
    </row>
    <row r="270" spans="1:13" x14ac:dyDescent="0.4">
      <c r="A270" s="20">
        <v>18</v>
      </c>
      <c r="B270" s="16">
        <v>2</v>
      </c>
      <c r="C270" s="16">
        <v>1</v>
      </c>
      <c r="D270" s="10">
        <v>2</v>
      </c>
      <c r="E270" s="11">
        <v>2.2000000000000002</v>
      </c>
      <c r="F270" s="11">
        <v>4.0999999999999996</v>
      </c>
      <c r="G270" s="12">
        <v>23.8</v>
      </c>
      <c r="H270" s="22"/>
      <c r="I270" s="22"/>
      <c r="J270" s="12">
        <v>39.200000000000003</v>
      </c>
      <c r="K270" s="12">
        <v>35</v>
      </c>
      <c r="L270" s="22"/>
      <c r="M270" s="12">
        <v>969</v>
      </c>
    </row>
    <row r="271" spans="1:13" x14ac:dyDescent="0.4">
      <c r="A271" s="20">
        <v>18</v>
      </c>
      <c r="B271" s="16">
        <v>2</v>
      </c>
      <c r="C271" s="16">
        <v>2</v>
      </c>
      <c r="D271" s="10">
        <v>3</v>
      </c>
      <c r="E271" s="11">
        <v>0.79</v>
      </c>
      <c r="F271" s="11">
        <v>3.1</v>
      </c>
      <c r="G271" s="12">
        <v>22.8</v>
      </c>
      <c r="H271" s="22"/>
      <c r="I271" s="22"/>
      <c r="J271" s="12">
        <v>38</v>
      </c>
      <c r="K271" s="12">
        <v>35.5</v>
      </c>
      <c r="L271" s="22"/>
      <c r="M271" s="12">
        <v>969</v>
      </c>
    </row>
    <row r="272" spans="1:13" x14ac:dyDescent="0.4">
      <c r="A272" s="20">
        <v>18</v>
      </c>
      <c r="B272" s="16">
        <v>2</v>
      </c>
      <c r="C272" s="16">
        <v>3</v>
      </c>
      <c r="D272" s="10">
        <v>4</v>
      </c>
      <c r="E272" s="11">
        <v>0.45</v>
      </c>
      <c r="F272" s="11">
        <v>2.85</v>
      </c>
      <c r="G272" s="12">
        <v>24</v>
      </c>
      <c r="H272" s="22"/>
      <c r="I272" s="22"/>
      <c r="J272" s="12">
        <v>39.799999999999997</v>
      </c>
      <c r="K272" s="12">
        <v>33.75</v>
      </c>
      <c r="L272" s="22"/>
      <c r="M272" s="12">
        <v>969</v>
      </c>
    </row>
    <row r="273" spans="1:13" x14ac:dyDescent="0.4">
      <c r="A273" s="20">
        <v>18</v>
      </c>
      <c r="B273" s="16">
        <v>2</v>
      </c>
      <c r="C273" s="16">
        <v>4</v>
      </c>
      <c r="D273" s="10">
        <v>5</v>
      </c>
      <c r="E273" s="11">
        <v>0.47</v>
      </c>
      <c r="F273" s="11">
        <v>2.85</v>
      </c>
      <c r="G273" s="12">
        <v>26</v>
      </c>
      <c r="H273" s="22"/>
      <c r="I273" s="22"/>
      <c r="J273" s="12">
        <v>40.200000000000003</v>
      </c>
      <c r="K273" s="12">
        <v>28.5</v>
      </c>
      <c r="L273" s="22"/>
      <c r="M273" s="12">
        <v>969</v>
      </c>
    </row>
    <row r="274" spans="1:13" x14ac:dyDescent="0.4">
      <c r="A274" s="20">
        <v>18</v>
      </c>
      <c r="B274" s="16">
        <v>2</v>
      </c>
      <c r="C274" s="16">
        <v>5</v>
      </c>
      <c r="D274" s="10">
        <v>6</v>
      </c>
      <c r="E274" s="11">
        <v>1.7</v>
      </c>
      <c r="F274" s="11">
        <v>3.8</v>
      </c>
      <c r="G274" s="12">
        <v>29.1</v>
      </c>
      <c r="H274" s="22"/>
      <c r="I274" s="22"/>
      <c r="J274" s="12">
        <v>41.7</v>
      </c>
      <c r="K274" s="12">
        <v>28</v>
      </c>
      <c r="L274" s="22"/>
      <c r="M274" s="12">
        <v>969</v>
      </c>
    </row>
    <row r="275" spans="1:13" x14ac:dyDescent="0.4">
      <c r="A275" s="20">
        <v>18</v>
      </c>
      <c r="B275" s="16">
        <v>2</v>
      </c>
      <c r="C275" s="16">
        <v>6</v>
      </c>
      <c r="D275" s="10">
        <v>7</v>
      </c>
      <c r="E275" s="11">
        <v>2.6</v>
      </c>
      <c r="F275" s="11">
        <v>2.8</v>
      </c>
      <c r="G275" s="12">
        <v>29.5</v>
      </c>
      <c r="H275" s="22"/>
      <c r="I275" s="22"/>
      <c r="J275" s="12">
        <v>40.799999999999997</v>
      </c>
      <c r="K275" s="12">
        <v>24.9</v>
      </c>
      <c r="L275" s="22"/>
      <c r="M275" s="12">
        <v>969</v>
      </c>
    </row>
    <row r="276" spans="1:13" x14ac:dyDescent="0.4">
      <c r="A276" s="20">
        <v>18</v>
      </c>
      <c r="B276" s="9">
        <v>3</v>
      </c>
      <c r="C276" s="9">
        <v>1</v>
      </c>
      <c r="D276" s="10">
        <v>8</v>
      </c>
      <c r="E276" s="11">
        <v>3.8</v>
      </c>
      <c r="F276" s="11">
        <v>4.5</v>
      </c>
      <c r="G276" s="12">
        <v>26.8</v>
      </c>
      <c r="H276" s="22"/>
      <c r="I276" s="12">
        <v>6</v>
      </c>
      <c r="J276" s="12">
        <v>38.299999999999997</v>
      </c>
      <c r="K276" s="12">
        <v>35.4</v>
      </c>
      <c r="L276" s="22"/>
      <c r="M276" s="12">
        <v>860</v>
      </c>
    </row>
    <row r="277" spans="1:13" x14ac:dyDescent="0.4">
      <c r="A277" s="20">
        <v>18</v>
      </c>
      <c r="B277" s="16">
        <v>4</v>
      </c>
      <c r="C277" s="16">
        <v>1</v>
      </c>
      <c r="D277" s="10">
        <v>9</v>
      </c>
      <c r="E277" s="11">
        <v>2.2000000000000002</v>
      </c>
      <c r="F277" s="11">
        <v>2.9</v>
      </c>
      <c r="G277" s="12">
        <v>28.2</v>
      </c>
      <c r="H277" s="22"/>
      <c r="I277" s="12">
        <v>4.0999999999999996</v>
      </c>
      <c r="J277" s="12">
        <v>37.5</v>
      </c>
      <c r="K277" s="12">
        <v>26.3</v>
      </c>
      <c r="L277" s="22"/>
      <c r="M277" s="12">
        <v>1366</v>
      </c>
    </row>
    <row r="278" spans="1:13" x14ac:dyDescent="0.4">
      <c r="A278" s="20">
        <v>18</v>
      </c>
      <c r="B278" s="9">
        <v>5</v>
      </c>
      <c r="C278" s="9">
        <v>1</v>
      </c>
      <c r="D278" s="10">
        <v>10</v>
      </c>
      <c r="E278" s="11">
        <v>3.8</v>
      </c>
      <c r="F278" s="11">
        <v>3.6</v>
      </c>
      <c r="G278" s="12">
        <v>28.1</v>
      </c>
      <c r="H278" s="22"/>
      <c r="I278" s="12">
        <v>4.3</v>
      </c>
      <c r="J278" s="12">
        <v>40.200000000000003</v>
      </c>
      <c r="K278" s="12">
        <v>26.7</v>
      </c>
      <c r="L278" s="22"/>
      <c r="M278" s="12">
        <v>1233</v>
      </c>
    </row>
    <row r="279" spans="1:13" x14ac:dyDescent="0.4">
      <c r="A279" s="20">
        <v>18</v>
      </c>
      <c r="B279" s="16">
        <v>6</v>
      </c>
      <c r="C279" s="16">
        <v>1</v>
      </c>
      <c r="D279" s="10">
        <v>11</v>
      </c>
      <c r="E279" s="11">
        <v>1.7</v>
      </c>
      <c r="F279" s="11">
        <v>2.9</v>
      </c>
      <c r="G279" s="12">
        <v>25.2</v>
      </c>
      <c r="H279" s="22"/>
      <c r="I279" s="12">
        <v>5</v>
      </c>
      <c r="J279" s="12">
        <v>34.700000000000003</v>
      </c>
      <c r="K279" s="12">
        <v>22.4</v>
      </c>
      <c r="L279" s="22"/>
      <c r="M279" s="12">
        <v>815</v>
      </c>
    </row>
    <row r="280" spans="1:13" x14ac:dyDescent="0.4">
      <c r="A280" s="20">
        <v>18</v>
      </c>
      <c r="B280" s="9">
        <v>7</v>
      </c>
      <c r="C280" s="9">
        <v>1</v>
      </c>
      <c r="D280" s="10">
        <v>12</v>
      </c>
      <c r="E280" s="11">
        <v>2.5</v>
      </c>
      <c r="F280" s="11">
        <v>3.4</v>
      </c>
      <c r="G280" s="12">
        <v>27</v>
      </c>
      <c r="H280" s="22"/>
      <c r="I280" s="12">
        <v>4.7</v>
      </c>
      <c r="J280" s="12">
        <v>39.4</v>
      </c>
      <c r="K280" s="12">
        <v>24.8</v>
      </c>
      <c r="L280" s="22"/>
      <c r="M280" s="12">
        <v>757</v>
      </c>
    </row>
    <row r="281" spans="1:13" x14ac:dyDescent="0.4">
      <c r="A281" s="20">
        <v>18</v>
      </c>
      <c r="B281" s="16">
        <v>8</v>
      </c>
      <c r="C281" s="16">
        <v>1</v>
      </c>
      <c r="D281" s="10">
        <v>13</v>
      </c>
      <c r="E281" s="11">
        <v>0.8</v>
      </c>
      <c r="F281" s="11">
        <v>2.6</v>
      </c>
      <c r="G281" s="12">
        <v>25.2</v>
      </c>
      <c r="H281" s="22"/>
      <c r="I281" s="12">
        <v>4.2</v>
      </c>
      <c r="J281" s="12">
        <v>37.799999999999997</v>
      </c>
      <c r="K281" s="12">
        <v>28.4</v>
      </c>
      <c r="L281" s="22"/>
      <c r="M281" s="12">
        <v>998</v>
      </c>
    </row>
    <row r="282" spans="1:13" x14ac:dyDescent="0.4">
      <c r="A282" s="20">
        <v>18</v>
      </c>
      <c r="B282" s="9">
        <v>9</v>
      </c>
      <c r="C282" s="9">
        <v>1</v>
      </c>
      <c r="D282" s="10">
        <v>14</v>
      </c>
      <c r="E282" s="11">
        <v>2.2000000000000002</v>
      </c>
      <c r="F282" s="11">
        <v>3</v>
      </c>
      <c r="G282" s="12">
        <v>28.7</v>
      </c>
      <c r="H282" s="22"/>
      <c r="I282" s="12">
        <v>3.2</v>
      </c>
      <c r="J282" s="12">
        <v>40.6</v>
      </c>
      <c r="K282" s="12">
        <v>25.4</v>
      </c>
      <c r="L282" s="22"/>
      <c r="M282" s="12">
        <v>892</v>
      </c>
    </row>
    <row r="283" spans="1:13" x14ac:dyDescent="0.4">
      <c r="A283" s="20">
        <v>18</v>
      </c>
      <c r="B283" s="16">
        <v>10</v>
      </c>
      <c r="C283" s="16">
        <v>1</v>
      </c>
      <c r="D283" s="10">
        <v>15</v>
      </c>
      <c r="E283" s="11">
        <v>2.1</v>
      </c>
      <c r="F283" s="11">
        <v>3.5</v>
      </c>
      <c r="G283" s="12">
        <v>28.1</v>
      </c>
      <c r="H283" s="22"/>
      <c r="I283" s="12">
        <v>4.2</v>
      </c>
      <c r="J283" s="12">
        <v>37.700000000000003</v>
      </c>
      <c r="K283" s="12">
        <v>23.5</v>
      </c>
      <c r="L283" s="22"/>
      <c r="M283" s="12">
        <v>955</v>
      </c>
    </row>
    <row r="284" spans="1:13" x14ac:dyDescent="0.4">
      <c r="A284" s="13">
        <v>19</v>
      </c>
      <c r="B284" s="9">
        <v>1</v>
      </c>
      <c r="C284" s="9">
        <v>1</v>
      </c>
      <c r="D284" s="10">
        <v>1</v>
      </c>
      <c r="E284" s="36">
        <v>3.9</v>
      </c>
      <c r="F284" s="37">
        <v>2.6</v>
      </c>
      <c r="G284" s="38">
        <v>25.9</v>
      </c>
      <c r="H284" s="22"/>
      <c r="I284" s="38">
        <v>4.3</v>
      </c>
      <c r="J284" s="38">
        <v>36</v>
      </c>
      <c r="K284" s="38">
        <v>20.07</v>
      </c>
      <c r="L284" s="22"/>
      <c r="M284" s="38">
        <v>718</v>
      </c>
    </row>
    <row r="285" spans="1:13" x14ac:dyDescent="0.4">
      <c r="A285" s="13">
        <v>19</v>
      </c>
      <c r="B285" s="9">
        <v>2</v>
      </c>
      <c r="C285" s="9">
        <v>1</v>
      </c>
      <c r="D285" s="10">
        <v>2</v>
      </c>
      <c r="E285" s="36">
        <v>4.0999999999999996</v>
      </c>
      <c r="F285" s="36">
        <v>4.0999999999999996</v>
      </c>
      <c r="G285" s="38">
        <v>22.7</v>
      </c>
      <c r="H285" s="22"/>
      <c r="I285" s="22"/>
      <c r="J285" s="38">
        <v>31.2</v>
      </c>
      <c r="K285" s="38">
        <v>17.399999999999999</v>
      </c>
      <c r="L285" s="31"/>
      <c r="M285" s="38">
        <v>641</v>
      </c>
    </row>
    <row r="286" spans="1:13" x14ac:dyDescent="0.4">
      <c r="A286" s="13">
        <v>19</v>
      </c>
      <c r="B286" s="9">
        <v>2</v>
      </c>
      <c r="C286" s="9">
        <v>2</v>
      </c>
      <c r="D286" s="10">
        <v>3</v>
      </c>
      <c r="E286" s="36">
        <v>4.2</v>
      </c>
      <c r="F286" s="36">
        <v>4.8</v>
      </c>
      <c r="G286" s="38">
        <v>22.3</v>
      </c>
      <c r="H286" s="22"/>
      <c r="I286" s="22"/>
      <c r="J286" s="38">
        <v>31.1</v>
      </c>
      <c r="K286" s="38">
        <v>22.8</v>
      </c>
      <c r="L286" s="31"/>
      <c r="M286" s="38">
        <v>641</v>
      </c>
    </row>
    <row r="287" spans="1:13" x14ac:dyDescent="0.4">
      <c r="A287" s="13">
        <v>19</v>
      </c>
      <c r="B287" s="9">
        <v>2</v>
      </c>
      <c r="C287" s="9">
        <v>3</v>
      </c>
      <c r="D287" s="10">
        <v>4</v>
      </c>
      <c r="E287" s="36">
        <v>8.1</v>
      </c>
      <c r="F287" s="36">
        <v>3.8</v>
      </c>
      <c r="G287" s="38">
        <v>22.7</v>
      </c>
      <c r="H287" s="22"/>
      <c r="I287" s="22"/>
      <c r="J287" s="38">
        <v>32.799999999999997</v>
      </c>
      <c r="K287" s="38">
        <v>21.5</v>
      </c>
      <c r="L287" s="31"/>
      <c r="M287" s="38">
        <v>641</v>
      </c>
    </row>
    <row r="288" spans="1:13" x14ac:dyDescent="0.4">
      <c r="A288" s="13">
        <v>19</v>
      </c>
      <c r="B288" s="9">
        <v>2</v>
      </c>
      <c r="C288" s="9">
        <v>4</v>
      </c>
      <c r="D288" s="10">
        <v>5</v>
      </c>
      <c r="E288" s="36">
        <v>3.2</v>
      </c>
      <c r="F288" s="36">
        <v>3.45</v>
      </c>
      <c r="G288" s="38">
        <v>24.4</v>
      </c>
      <c r="H288" s="22"/>
      <c r="I288" s="22"/>
      <c r="J288" s="38">
        <v>35</v>
      </c>
      <c r="K288" s="38">
        <v>18</v>
      </c>
      <c r="L288" s="31"/>
      <c r="M288" s="38">
        <v>641</v>
      </c>
    </row>
    <row r="289" spans="1:13" x14ac:dyDescent="0.4">
      <c r="A289" s="13">
        <v>19</v>
      </c>
      <c r="B289" s="9">
        <v>3</v>
      </c>
      <c r="C289" s="9">
        <v>1</v>
      </c>
      <c r="D289" s="10">
        <v>6</v>
      </c>
      <c r="E289" s="36">
        <v>10</v>
      </c>
      <c r="F289" s="36">
        <v>2.85</v>
      </c>
      <c r="G289" s="38">
        <v>20.2</v>
      </c>
      <c r="H289" s="22"/>
      <c r="I289" s="38">
        <v>2.6</v>
      </c>
      <c r="J289" s="38">
        <v>33.200000000000003</v>
      </c>
      <c r="K289" s="38">
        <v>20.58</v>
      </c>
      <c r="L289" s="31"/>
      <c r="M289" s="38">
        <v>847</v>
      </c>
    </row>
    <row r="290" spans="1:13" x14ac:dyDescent="0.4">
      <c r="A290" s="13">
        <v>19</v>
      </c>
      <c r="B290" s="9">
        <v>4</v>
      </c>
      <c r="C290" s="9">
        <v>1</v>
      </c>
      <c r="D290" s="10">
        <v>7</v>
      </c>
      <c r="E290" s="36">
        <v>7.6</v>
      </c>
      <c r="F290" s="36">
        <v>3.5</v>
      </c>
      <c r="G290" s="38">
        <v>17.899999999999999</v>
      </c>
      <c r="H290" s="22"/>
      <c r="I290" s="38">
        <v>4.5</v>
      </c>
      <c r="J290" s="38">
        <v>34.6</v>
      </c>
      <c r="K290" s="38">
        <v>21.7</v>
      </c>
      <c r="L290" s="31"/>
      <c r="M290" s="38">
        <v>708</v>
      </c>
    </row>
    <row r="291" spans="1:13" x14ac:dyDescent="0.4">
      <c r="A291" s="13">
        <v>19</v>
      </c>
      <c r="B291" s="9">
        <v>5</v>
      </c>
      <c r="C291" s="9">
        <v>1</v>
      </c>
      <c r="D291" s="10">
        <v>8</v>
      </c>
      <c r="E291" s="36">
        <v>6</v>
      </c>
      <c r="F291" s="36">
        <v>3.3</v>
      </c>
      <c r="G291" s="38">
        <v>23.9</v>
      </c>
      <c r="H291" s="22"/>
      <c r="I291" s="38">
        <v>4.4000000000000004</v>
      </c>
      <c r="J291" s="38">
        <v>35.5</v>
      </c>
      <c r="K291" s="38">
        <v>20.3</v>
      </c>
      <c r="L291" s="31"/>
      <c r="M291" s="38">
        <v>780</v>
      </c>
    </row>
    <row r="292" spans="1:13" x14ac:dyDescent="0.4">
      <c r="A292" s="13">
        <v>19</v>
      </c>
      <c r="B292" s="9">
        <v>6</v>
      </c>
      <c r="C292" s="9">
        <v>1</v>
      </c>
      <c r="D292" s="10">
        <v>9</v>
      </c>
      <c r="E292" s="36">
        <v>11.6</v>
      </c>
      <c r="F292" s="36">
        <v>3.35</v>
      </c>
      <c r="G292" s="38">
        <v>24.3</v>
      </c>
      <c r="H292" s="22"/>
      <c r="I292" s="38">
        <v>3</v>
      </c>
      <c r="J292" s="38">
        <v>34.1</v>
      </c>
      <c r="K292" s="38">
        <v>19.3</v>
      </c>
      <c r="L292" s="31"/>
      <c r="M292" s="38">
        <v>698</v>
      </c>
    </row>
    <row r="293" spans="1:13" x14ac:dyDescent="0.4">
      <c r="A293" s="13">
        <v>19</v>
      </c>
      <c r="B293" s="9">
        <v>7</v>
      </c>
      <c r="C293" s="9">
        <v>1</v>
      </c>
      <c r="D293" s="10">
        <v>10</v>
      </c>
      <c r="E293" s="36">
        <v>11.5</v>
      </c>
      <c r="F293" s="36">
        <v>3</v>
      </c>
      <c r="G293" s="38">
        <v>22.5</v>
      </c>
      <c r="H293" s="22"/>
      <c r="I293" s="38">
        <v>4.3</v>
      </c>
      <c r="J293" s="38">
        <v>33.6</v>
      </c>
      <c r="K293" s="38">
        <v>19</v>
      </c>
      <c r="L293" s="31"/>
      <c r="M293" s="38">
        <v>760</v>
      </c>
    </row>
    <row r="294" spans="1:13" x14ac:dyDescent="0.4">
      <c r="A294" s="13">
        <v>19</v>
      </c>
      <c r="B294" s="9">
        <v>8</v>
      </c>
      <c r="C294" s="9">
        <v>1</v>
      </c>
      <c r="D294" s="10">
        <v>11</v>
      </c>
      <c r="E294" s="36">
        <v>7.8</v>
      </c>
      <c r="F294" s="36">
        <v>3.6</v>
      </c>
      <c r="G294" s="38">
        <v>17.600000000000001</v>
      </c>
      <c r="H294" s="22"/>
      <c r="I294" s="38">
        <v>3.8</v>
      </c>
      <c r="J294" s="38">
        <v>32.1</v>
      </c>
      <c r="K294" s="38">
        <v>21.2</v>
      </c>
      <c r="L294" s="31"/>
      <c r="M294" s="38">
        <v>698</v>
      </c>
    </row>
    <row r="295" spans="1:13" x14ac:dyDescent="0.4">
      <c r="A295" s="13">
        <v>19</v>
      </c>
      <c r="B295" s="9">
        <v>9</v>
      </c>
      <c r="C295" s="9">
        <v>1</v>
      </c>
      <c r="D295" s="10">
        <v>12</v>
      </c>
      <c r="E295" s="36">
        <v>8.1999999999999993</v>
      </c>
      <c r="F295" s="36">
        <v>3.9</v>
      </c>
      <c r="G295" s="38">
        <v>21.7</v>
      </c>
      <c r="H295" s="22"/>
      <c r="I295" s="38">
        <v>3.9</v>
      </c>
      <c r="J295" s="38">
        <v>32</v>
      </c>
      <c r="K295" s="38">
        <v>20.399999999999999</v>
      </c>
      <c r="L295" s="31"/>
      <c r="M295" s="38">
        <v>890</v>
      </c>
    </row>
    <row r="296" spans="1:13" x14ac:dyDescent="0.4">
      <c r="A296" s="13">
        <v>19</v>
      </c>
      <c r="B296" s="9">
        <v>10</v>
      </c>
      <c r="C296" s="9">
        <v>1</v>
      </c>
      <c r="D296" s="10">
        <v>13</v>
      </c>
      <c r="E296" s="36">
        <v>10</v>
      </c>
      <c r="F296" s="36">
        <v>3</v>
      </c>
      <c r="G296" s="38">
        <v>25</v>
      </c>
      <c r="H296" s="22"/>
      <c r="I296" s="38">
        <v>4.5999999999999996</v>
      </c>
      <c r="J296" s="38">
        <v>36.4</v>
      </c>
      <c r="K296" s="38">
        <v>20.9</v>
      </c>
      <c r="L296" s="31"/>
      <c r="M296" s="38">
        <v>765</v>
      </c>
    </row>
    <row r="297" spans="1:13" x14ac:dyDescent="0.4">
      <c r="A297" s="39">
        <v>20</v>
      </c>
      <c r="B297" s="39">
        <v>1</v>
      </c>
      <c r="C297" s="39">
        <v>1</v>
      </c>
      <c r="D297" s="39">
        <v>1</v>
      </c>
      <c r="E297" s="41">
        <v>2.5</v>
      </c>
      <c r="F297" s="41">
        <v>2.2000000000000002</v>
      </c>
      <c r="G297" s="39">
        <v>13.5</v>
      </c>
      <c r="H297" s="39">
        <v>50</v>
      </c>
      <c r="I297" s="39">
        <v>8</v>
      </c>
      <c r="J297" s="39">
        <v>34</v>
      </c>
      <c r="K297" s="39">
        <v>31</v>
      </c>
      <c r="L297" s="39">
        <v>71</v>
      </c>
      <c r="M297" s="39">
        <v>705</v>
      </c>
    </row>
    <row r="298" spans="1:13" x14ac:dyDescent="0.4">
      <c r="A298" s="39">
        <v>20</v>
      </c>
      <c r="B298" s="39">
        <v>2</v>
      </c>
      <c r="C298" s="39">
        <v>1</v>
      </c>
      <c r="D298" s="39">
        <v>2</v>
      </c>
      <c r="E298" s="41">
        <v>0</v>
      </c>
      <c r="F298" s="41">
        <v>0</v>
      </c>
      <c r="G298" s="39">
        <v>16</v>
      </c>
      <c r="H298" s="39">
        <v>50</v>
      </c>
      <c r="I298" s="39">
        <v>7.5</v>
      </c>
      <c r="J298" s="39">
        <v>28</v>
      </c>
      <c r="K298" s="39">
        <v>25</v>
      </c>
      <c r="L298" s="39">
        <v>71</v>
      </c>
      <c r="M298" s="39">
        <v>742</v>
      </c>
    </row>
    <row r="299" spans="1:13" x14ac:dyDescent="0.4">
      <c r="A299" s="39">
        <v>20</v>
      </c>
      <c r="B299" s="39">
        <v>3</v>
      </c>
      <c r="C299" s="39">
        <v>1</v>
      </c>
      <c r="D299" s="39">
        <v>3</v>
      </c>
      <c r="E299" s="41">
        <v>0</v>
      </c>
      <c r="F299" s="41">
        <v>0</v>
      </c>
      <c r="G299" s="39">
        <v>15</v>
      </c>
      <c r="H299" s="39">
        <v>50</v>
      </c>
      <c r="I299" s="39">
        <v>8</v>
      </c>
      <c r="J299" s="39">
        <v>29</v>
      </c>
      <c r="K299" s="39">
        <v>26.8</v>
      </c>
      <c r="L299" s="39">
        <v>71</v>
      </c>
      <c r="M299" s="39">
        <v>747</v>
      </c>
    </row>
    <row r="300" spans="1:13" x14ac:dyDescent="0.4">
      <c r="A300" s="39">
        <v>20</v>
      </c>
      <c r="B300" s="39">
        <v>4</v>
      </c>
      <c r="C300" s="39">
        <v>1</v>
      </c>
      <c r="D300" s="39">
        <v>4</v>
      </c>
      <c r="E300" s="41">
        <v>1.85</v>
      </c>
      <c r="F300" s="41">
        <v>2.2000000000000002</v>
      </c>
      <c r="G300" s="39">
        <v>13</v>
      </c>
      <c r="H300" s="39">
        <v>50</v>
      </c>
      <c r="I300" s="39">
        <v>8.5</v>
      </c>
      <c r="J300" s="39">
        <v>34</v>
      </c>
      <c r="K300" s="39">
        <v>29</v>
      </c>
      <c r="L300" s="39">
        <v>71</v>
      </c>
      <c r="M300" s="39">
        <v>705</v>
      </c>
    </row>
    <row r="301" spans="1:13" x14ac:dyDescent="0.4">
      <c r="A301" s="39">
        <v>20</v>
      </c>
      <c r="B301" s="39">
        <v>5</v>
      </c>
      <c r="C301" s="39">
        <v>1</v>
      </c>
      <c r="D301" s="39">
        <v>5</v>
      </c>
      <c r="E301" s="41">
        <v>2</v>
      </c>
      <c r="F301" s="41">
        <v>2.8</v>
      </c>
      <c r="G301" s="39">
        <v>14</v>
      </c>
      <c r="H301" s="39">
        <v>50</v>
      </c>
      <c r="I301" s="39">
        <v>8.1</v>
      </c>
      <c r="J301" s="39">
        <v>33</v>
      </c>
      <c r="K301" s="39">
        <v>28</v>
      </c>
      <c r="L301" s="39">
        <v>71</v>
      </c>
      <c r="M301" s="39">
        <v>521</v>
      </c>
    </row>
    <row r="302" spans="1:13" x14ac:dyDescent="0.4">
      <c r="A302" s="39">
        <v>20</v>
      </c>
      <c r="B302" s="39">
        <v>6</v>
      </c>
      <c r="C302" s="39">
        <v>1</v>
      </c>
      <c r="D302" s="39">
        <v>6</v>
      </c>
      <c r="E302" s="41">
        <v>3</v>
      </c>
      <c r="F302" s="41">
        <v>3.4</v>
      </c>
      <c r="G302" s="39">
        <v>16</v>
      </c>
      <c r="H302" s="39">
        <v>50</v>
      </c>
      <c r="I302" s="39">
        <v>5</v>
      </c>
      <c r="J302" s="39">
        <v>34</v>
      </c>
      <c r="K302" s="39">
        <v>26</v>
      </c>
      <c r="L302" s="39">
        <v>71</v>
      </c>
      <c r="M302" s="39">
        <v>940</v>
      </c>
    </row>
    <row r="303" spans="1:13" x14ac:dyDescent="0.4">
      <c r="A303" s="39">
        <v>20</v>
      </c>
      <c r="B303" s="39">
        <v>7</v>
      </c>
      <c r="C303" s="39">
        <v>1</v>
      </c>
      <c r="D303" s="39">
        <v>7</v>
      </c>
      <c r="E303" s="41">
        <v>3.6</v>
      </c>
      <c r="F303" s="41">
        <v>2.5</v>
      </c>
      <c r="G303" s="39">
        <v>11.3</v>
      </c>
      <c r="H303" s="39">
        <v>50</v>
      </c>
      <c r="I303" s="39">
        <v>6.17</v>
      </c>
      <c r="J303" s="39">
        <v>32</v>
      </c>
      <c r="K303" s="39">
        <v>28</v>
      </c>
      <c r="L303" s="39">
        <v>71</v>
      </c>
      <c r="M303" s="39">
        <v>723</v>
      </c>
    </row>
    <row r="304" spans="1:13" x14ac:dyDescent="0.4">
      <c r="A304" s="39">
        <v>20</v>
      </c>
      <c r="B304" s="39">
        <v>8</v>
      </c>
      <c r="C304" s="39">
        <v>1</v>
      </c>
      <c r="D304" s="39">
        <v>8</v>
      </c>
      <c r="E304" s="41">
        <v>4.3</v>
      </c>
      <c r="F304" s="41">
        <v>2.65</v>
      </c>
      <c r="G304" s="39">
        <v>12.75</v>
      </c>
      <c r="H304" s="39">
        <v>50</v>
      </c>
      <c r="I304" s="39">
        <v>8.6999999999999993</v>
      </c>
      <c r="J304" s="39">
        <v>35</v>
      </c>
      <c r="K304" s="39">
        <v>25.7</v>
      </c>
      <c r="L304" s="39">
        <v>71</v>
      </c>
      <c r="M304" s="39">
        <v>738</v>
      </c>
    </row>
    <row r="305" spans="1:13" x14ac:dyDescent="0.4">
      <c r="A305" s="39">
        <v>20</v>
      </c>
      <c r="B305" s="39">
        <v>9</v>
      </c>
      <c r="C305" s="39">
        <v>1</v>
      </c>
      <c r="D305" s="39">
        <v>9</v>
      </c>
      <c r="E305" s="41">
        <v>4</v>
      </c>
      <c r="F305" s="41">
        <v>2.9</v>
      </c>
      <c r="G305" s="39">
        <v>11.8</v>
      </c>
      <c r="H305" s="39">
        <v>50</v>
      </c>
      <c r="I305" s="39">
        <v>8.5</v>
      </c>
      <c r="J305" s="39">
        <v>33</v>
      </c>
      <c r="K305" s="39">
        <v>29</v>
      </c>
      <c r="L305" s="39">
        <v>71</v>
      </c>
      <c r="M305" s="39">
        <v>719</v>
      </c>
    </row>
    <row r="306" spans="1:13" x14ac:dyDescent="0.4">
      <c r="A306" s="39">
        <v>20</v>
      </c>
      <c r="B306" s="39">
        <v>10</v>
      </c>
      <c r="C306" s="39">
        <v>1</v>
      </c>
      <c r="D306" s="39">
        <v>10</v>
      </c>
      <c r="E306" s="41">
        <v>3.28</v>
      </c>
      <c r="F306" s="41">
        <v>1.8</v>
      </c>
      <c r="G306" s="39">
        <v>11.8</v>
      </c>
      <c r="H306" s="39">
        <v>50</v>
      </c>
      <c r="I306" s="39">
        <v>7.2</v>
      </c>
      <c r="J306" s="39">
        <v>30</v>
      </c>
      <c r="K306" s="39">
        <v>29.1</v>
      </c>
      <c r="L306" s="39">
        <v>71</v>
      </c>
      <c r="M306" s="39">
        <v>709</v>
      </c>
    </row>
    <row r="307" spans="1:13" x14ac:dyDescent="0.4">
      <c r="A307" s="40">
        <v>21</v>
      </c>
      <c r="B307" s="40">
        <v>1</v>
      </c>
      <c r="C307" s="40">
        <v>1</v>
      </c>
      <c r="D307" s="40">
        <v>1</v>
      </c>
      <c r="E307" s="41">
        <v>16</v>
      </c>
      <c r="F307" s="41">
        <v>3.6</v>
      </c>
      <c r="G307" s="40">
        <v>22.75</v>
      </c>
      <c r="H307" s="40">
        <v>62</v>
      </c>
      <c r="I307" s="40">
        <v>5</v>
      </c>
      <c r="J307" s="40">
        <v>31</v>
      </c>
      <c r="K307" s="40">
        <v>36.1</v>
      </c>
      <c r="L307" s="40">
        <v>80</v>
      </c>
      <c r="M307" s="40">
        <v>995</v>
      </c>
    </row>
    <row r="308" spans="1:13" x14ac:dyDescent="0.4">
      <c r="A308" s="40">
        <v>21</v>
      </c>
      <c r="B308" s="40">
        <v>2</v>
      </c>
      <c r="C308" s="40">
        <v>1</v>
      </c>
      <c r="D308" s="40">
        <v>2</v>
      </c>
      <c r="E308" s="41">
        <v>6</v>
      </c>
      <c r="F308" s="41">
        <v>4.3</v>
      </c>
      <c r="G308" s="40">
        <v>22.3</v>
      </c>
      <c r="H308" s="40">
        <v>62</v>
      </c>
      <c r="I308" s="40">
        <v>5.5</v>
      </c>
      <c r="J308" s="40">
        <v>30</v>
      </c>
      <c r="K308" s="40">
        <v>38</v>
      </c>
      <c r="L308" s="40">
        <v>80</v>
      </c>
      <c r="M308" s="40">
        <v>975</v>
      </c>
    </row>
    <row r="309" spans="1:13" x14ac:dyDescent="0.4">
      <c r="A309" s="40">
        <v>21</v>
      </c>
      <c r="B309" s="40">
        <v>3</v>
      </c>
      <c r="C309" s="40">
        <v>1</v>
      </c>
      <c r="D309" s="40">
        <v>3</v>
      </c>
      <c r="E309" s="41">
        <v>7.2</v>
      </c>
      <c r="F309" s="41">
        <v>4.5</v>
      </c>
      <c r="G309" s="40">
        <v>29</v>
      </c>
      <c r="H309" s="40">
        <v>62</v>
      </c>
      <c r="I309" s="40">
        <v>4.5</v>
      </c>
      <c r="J309" s="40">
        <v>30.5</v>
      </c>
      <c r="K309" s="40">
        <v>28</v>
      </c>
      <c r="L309" s="40">
        <v>80</v>
      </c>
      <c r="M309" s="40">
        <v>1000</v>
      </c>
    </row>
    <row r="310" spans="1:13" x14ac:dyDescent="0.4">
      <c r="A310" s="40">
        <v>21</v>
      </c>
      <c r="B310" s="40">
        <v>4</v>
      </c>
      <c r="C310" s="40">
        <v>1</v>
      </c>
      <c r="D310" s="40">
        <v>4</v>
      </c>
      <c r="E310" s="41">
        <v>14.4</v>
      </c>
      <c r="F310" s="41">
        <v>6.5</v>
      </c>
      <c r="G310" s="40">
        <v>20.5</v>
      </c>
      <c r="H310" s="40">
        <v>62</v>
      </c>
      <c r="I310" s="40">
        <v>2.5</v>
      </c>
      <c r="J310" s="40">
        <v>25.5</v>
      </c>
      <c r="K310" s="40">
        <v>29.5</v>
      </c>
      <c r="L310" s="40">
        <v>80</v>
      </c>
      <c r="M310" s="40">
        <v>995</v>
      </c>
    </row>
    <row r="311" spans="1:13" x14ac:dyDescent="0.4">
      <c r="A311" s="40">
        <v>21</v>
      </c>
      <c r="B311" s="40">
        <v>5</v>
      </c>
      <c r="C311" s="40">
        <v>1</v>
      </c>
      <c r="D311" s="40">
        <v>5</v>
      </c>
      <c r="E311" s="41">
        <v>14.95</v>
      </c>
      <c r="F311" s="41">
        <v>6.9</v>
      </c>
      <c r="G311" s="40">
        <v>26.2</v>
      </c>
      <c r="H311" s="40">
        <v>62</v>
      </c>
      <c r="I311" s="40">
        <v>5</v>
      </c>
      <c r="J311" s="40">
        <v>30.5</v>
      </c>
      <c r="K311" s="40">
        <v>33.200000000000003</v>
      </c>
      <c r="L311" s="40">
        <v>80</v>
      </c>
      <c r="M311" s="40">
        <v>995</v>
      </c>
    </row>
    <row r="312" spans="1:13" x14ac:dyDescent="0.4">
      <c r="A312" s="40">
        <v>21</v>
      </c>
      <c r="B312" s="40">
        <v>6</v>
      </c>
      <c r="C312" s="40">
        <v>1</v>
      </c>
      <c r="D312" s="40">
        <v>6</v>
      </c>
      <c r="E312" s="41">
        <v>15.2</v>
      </c>
      <c r="F312" s="41">
        <v>6.3</v>
      </c>
      <c r="G312" s="40">
        <v>26</v>
      </c>
      <c r="H312" s="40">
        <v>62</v>
      </c>
      <c r="I312" s="40">
        <v>4.2</v>
      </c>
      <c r="J312" s="40">
        <v>33</v>
      </c>
      <c r="K312" s="40">
        <v>30.5</v>
      </c>
      <c r="L312" s="40">
        <v>80</v>
      </c>
      <c r="M312" s="40">
        <v>995</v>
      </c>
    </row>
    <row r="313" spans="1:13" x14ac:dyDescent="0.4">
      <c r="A313" s="40">
        <v>21</v>
      </c>
      <c r="B313" s="40">
        <v>7</v>
      </c>
      <c r="C313" s="40">
        <v>1</v>
      </c>
      <c r="D313" s="40">
        <v>7</v>
      </c>
      <c r="E313" s="41">
        <v>13.7</v>
      </c>
      <c r="F313" s="41">
        <v>5.0999999999999996</v>
      </c>
      <c r="G313" s="40">
        <v>24</v>
      </c>
      <c r="H313" s="40">
        <v>62</v>
      </c>
      <c r="I313" s="40">
        <v>4.8</v>
      </c>
      <c r="J313" s="40">
        <v>32.4</v>
      </c>
      <c r="K313" s="40">
        <v>34.5</v>
      </c>
      <c r="L313" s="40">
        <v>80</v>
      </c>
      <c r="M313" s="40">
        <v>995</v>
      </c>
    </row>
    <row r="314" spans="1:13" x14ac:dyDescent="0.4">
      <c r="A314" s="40">
        <v>21</v>
      </c>
      <c r="B314" s="40">
        <v>8</v>
      </c>
      <c r="C314" s="40">
        <v>1</v>
      </c>
      <c r="D314" s="40">
        <v>8</v>
      </c>
      <c r="E314" s="41">
        <v>13.4</v>
      </c>
      <c r="F314" s="41">
        <v>5.8</v>
      </c>
      <c r="G314" s="40">
        <v>25.5</v>
      </c>
      <c r="H314" s="40">
        <v>62</v>
      </c>
      <c r="I314" s="40">
        <v>4.5999999999999996</v>
      </c>
      <c r="J314" s="40">
        <v>32</v>
      </c>
      <c r="K314" s="40">
        <v>33.4</v>
      </c>
      <c r="L314" s="40">
        <v>80</v>
      </c>
      <c r="M314" s="40">
        <v>995</v>
      </c>
    </row>
    <row r="315" spans="1:13" x14ac:dyDescent="0.4">
      <c r="A315" s="40">
        <v>21</v>
      </c>
      <c r="B315" s="40">
        <v>9</v>
      </c>
      <c r="C315" s="40">
        <v>1</v>
      </c>
      <c r="D315" s="40">
        <v>9</v>
      </c>
      <c r="E315" s="41">
        <v>16</v>
      </c>
      <c r="F315" s="41">
        <v>5.5</v>
      </c>
      <c r="G315" s="40">
        <v>26.5</v>
      </c>
      <c r="H315" s="40">
        <v>62</v>
      </c>
      <c r="I315" s="40">
        <v>4.5999999999999996</v>
      </c>
      <c r="J315" s="40">
        <v>30.6</v>
      </c>
      <c r="K315" s="40">
        <v>25.5</v>
      </c>
      <c r="L315" s="40">
        <v>80</v>
      </c>
      <c r="M315" s="40">
        <v>1010</v>
      </c>
    </row>
    <row r="316" spans="1:13" x14ac:dyDescent="0.4">
      <c r="A316" s="40">
        <v>21</v>
      </c>
      <c r="B316" s="40">
        <v>10</v>
      </c>
      <c r="C316" s="40">
        <v>1</v>
      </c>
      <c r="D316" s="40">
        <v>10</v>
      </c>
      <c r="E316" s="41">
        <v>18</v>
      </c>
      <c r="F316" s="41">
        <v>5.3</v>
      </c>
      <c r="G316" s="40">
        <v>24.6</v>
      </c>
      <c r="H316" s="40">
        <v>62</v>
      </c>
      <c r="I316" s="40">
        <v>4.4000000000000004</v>
      </c>
      <c r="J316" s="40">
        <v>29.5</v>
      </c>
      <c r="K316" s="40">
        <v>36</v>
      </c>
      <c r="L316" s="40">
        <v>80</v>
      </c>
      <c r="M316" s="40">
        <v>995</v>
      </c>
    </row>
    <row r="317" spans="1:13" x14ac:dyDescent="0.4">
      <c r="A317" s="39">
        <v>22</v>
      </c>
      <c r="B317" s="39">
        <v>1</v>
      </c>
      <c r="C317" s="39">
        <v>1</v>
      </c>
      <c r="D317" s="39">
        <v>1</v>
      </c>
      <c r="E317" s="41">
        <v>3.2</v>
      </c>
      <c r="F317" s="41">
        <v>6.93</v>
      </c>
      <c r="G317" s="39">
        <v>19.600000000000001</v>
      </c>
      <c r="H317" s="39">
        <v>46</v>
      </c>
      <c r="I317" s="39">
        <v>11</v>
      </c>
      <c r="J317" s="39">
        <v>38.299999999999997</v>
      </c>
      <c r="K317" s="39">
        <v>65.8</v>
      </c>
      <c r="L317" s="39">
        <v>95</v>
      </c>
      <c r="M317" s="39">
        <v>711.5</v>
      </c>
    </row>
    <row r="318" spans="1:13" x14ac:dyDescent="0.4">
      <c r="A318" s="39">
        <v>22</v>
      </c>
      <c r="B318" s="39">
        <v>1</v>
      </c>
      <c r="C318" s="39">
        <v>2</v>
      </c>
      <c r="D318" s="39">
        <v>2</v>
      </c>
      <c r="E318" s="41">
        <v>5.5</v>
      </c>
      <c r="F318" s="41">
        <v>4.8</v>
      </c>
      <c r="G318" s="39">
        <v>19</v>
      </c>
      <c r="H318" s="39">
        <v>46</v>
      </c>
      <c r="I318" s="39">
        <v>10.4</v>
      </c>
      <c r="J318" s="39">
        <v>37.799999999999997</v>
      </c>
      <c r="K318" s="39">
        <v>63</v>
      </c>
      <c r="L318" s="39">
        <v>95</v>
      </c>
      <c r="M318" s="39">
        <v>711.5</v>
      </c>
    </row>
    <row r="319" spans="1:13" x14ac:dyDescent="0.4">
      <c r="A319" s="39">
        <v>22</v>
      </c>
      <c r="B319" s="39">
        <v>1</v>
      </c>
      <c r="C319" s="39">
        <v>3</v>
      </c>
      <c r="D319" s="39">
        <v>3</v>
      </c>
      <c r="E319" s="41">
        <v>6</v>
      </c>
      <c r="F319" s="41">
        <v>5.2</v>
      </c>
      <c r="G319" s="39">
        <v>16.399999999999999</v>
      </c>
      <c r="H319" s="39">
        <v>46</v>
      </c>
      <c r="I319" s="39">
        <v>9.5</v>
      </c>
      <c r="J319" s="39">
        <v>36</v>
      </c>
      <c r="K319" s="39">
        <v>62</v>
      </c>
      <c r="L319" s="39">
        <v>95</v>
      </c>
      <c r="M319" s="39">
        <v>711.5</v>
      </c>
    </row>
    <row r="320" spans="1:13" x14ac:dyDescent="0.4">
      <c r="A320" s="39">
        <v>22</v>
      </c>
      <c r="B320" s="39">
        <v>1</v>
      </c>
      <c r="C320" s="39">
        <v>4</v>
      </c>
      <c r="D320" s="39">
        <v>4</v>
      </c>
      <c r="E320" s="41">
        <v>12.7</v>
      </c>
      <c r="F320" s="41">
        <v>4.9000000000000004</v>
      </c>
      <c r="G320" s="39">
        <v>19.3</v>
      </c>
      <c r="H320" s="39">
        <v>46</v>
      </c>
      <c r="I320" s="39">
        <v>10.1</v>
      </c>
      <c r="J320" s="39">
        <v>39</v>
      </c>
      <c r="K320" s="39">
        <v>61.5</v>
      </c>
      <c r="L320" s="39">
        <v>95</v>
      </c>
      <c r="M320" s="39">
        <v>711.5</v>
      </c>
    </row>
    <row r="321" spans="1:13" x14ac:dyDescent="0.4">
      <c r="A321" s="39">
        <v>22</v>
      </c>
      <c r="B321" s="39">
        <v>1</v>
      </c>
      <c r="C321" s="39">
        <v>5</v>
      </c>
      <c r="D321" s="39">
        <v>5</v>
      </c>
      <c r="E321" s="41">
        <v>12.1</v>
      </c>
      <c r="F321" s="41">
        <v>4.2</v>
      </c>
      <c r="G321" s="39">
        <v>18.899999999999999</v>
      </c>
      <c r="H321" s="39">
        <v>46</v>
      </c>
      <c r="I321" s="39">
        <v>9.8000000000000007</v>
      </c>
      <c r="J321" s="39">
        <v>36.6</v>
      </c>
      <c r="K321" s="39">
        <v>61.3</v>
      </c>
      <c r="L321" s="39">
        <v>95</v>
      </c>
      <c r="M321" s="39">
        <v>711.5</v>
      </c>
    </row>
    <row r="322" spans="1:13" x14ac:dyDescent="0.4">
      <c r="A322" s="39">
        <v>22</v>
      </c>
      <c r="B322" s="39">
        <v>2</v>
      </c>
      <c r="C322" s="39">
        <v>1</v>
      </c>
      <c r="D322" s="39">
        <v>6</v>
      </c>
      <c r="E322" s="41">
        <v>3.7</v>
      </c>
      <c r="F322" s="41">
        <v>11</v>
      </c>
      <c r="G322" s="39">
        <v>12</v>
      </c>
      <c r="H322" s="39">
        <v>46</v>
      </c>
      <c r="I322" s="39">
        <v>11.1</v>
      </c>
      <c r="J322" s="39">
        <v>36.5</v>
      </c>
      <c r="K322" s="39">
        <v>63.2</v>
      </c>
      <c r="L322" s="39">
        <v>95</v>
      </c>
      <c r="M322" s="39">
        <v>711.5</v>
      </c>
    </row>
    <row r="323" spans="1:13" x14ac:dyDescent="0.4">
      <c r="A323" s="39">
        <v>22</v>
      </c>
      <c r="B323" s="39">
        <v>2</v>
      </c>
      <c r="C323" s="39">
        <v>2</v>
      </c>
      <c r="D323" s="39">
        <v>7</v>
      </c>
      <c r="E323" s="41">
        <v>7.5</v>
      </c>
      <c r="F323" s="41">
        <v>6.6</v>
      </c>
      <c r="G323" s="39">
        <v>14.8</v>
      </c>
      <c r="H323" s="39">
        <v>46</v>
      </c>
      <c r="I323" s="39">
        <v>9.5</v>
      </c>
      <c r="J323" s="39">
        <v>35.5</v>
      </c>
      <c r="K323" s="39">
        <v>62.3</v>
      </c>
      <c r="L323" s="39">
        <v>95</v>
      </c>
      <c r="M323" s="39">
        <v>711.5</v>
      </c>
    </row>
    <row r="324" spans="1:13" x14ac:dyDescent="0.4">
      <c r="A324" s="39">
        <v>22</v>
      </c>
      <c r="B324" s="39">
        <v>2</v>
      </c>
      <c r="C324" s="39">
        <v>3</v>
      </c>
      <c r="D324" s="39">
        <v>8</v>
      </c>
      <c r="E324" s="41">
        <v>7.7</v>
      </c>
      <c r="F324" s="41">
        <v>6.8</v>
      </c>
      <c r="G324" s="39">
        <v>14.2</v>
      </c>
      <c r="H324" s="39">
        <v>46</v>
      </c>
      <c r="I324" s="39">
        <v>10.199999999999999</v>
      </c>
      <c r="J324" s="39">
        <v>33.700000000000003</v>
      </c>
      <c r="K324" s="39">
        <v>61.7</v>
      </c>
      <c r="L324" s="39">
        <v>95</v>
      </c>
      <c r="M324" s="39">
        <v>711.5</v>
      </c>
    </row>
    <row r="325" spans="1:13" x14ac:dyDescent="0.4">
      <c r="A325" s="39">
        <v>22</v>
      </c>
      <c r="B325" s="39">
        <v>2</v>
      </c>
      <c r="C325" s="39">
        <v>4</v>
      </c>
      <c r="D325" s="39">
        <v>9</v>
      </c>
      <c r="E325" s="41">
        <v>9.1999999999999993</v>
      </c>
      <c r="F325" s="41">
        <v>6.4</v>
      </c>
      <c r="G325" s="39">
        <v>14.3</v>
      </c>
      <c r="H325" s="39">
        <v>46</v>
      </c>
      <c r="I325" s="39">
        <v>10.9</v>
      </c>
      <c r="J325" s="39">
        <v>36</v>
      </c>
      <c r="K325" s="39">
        <v>59</v>
      </c>
      <c r="L325" s="39">
        <v>95</v>
      </c>
      <c r="M325" s="39">
        <v>711.5</v>
      </c>
    </row>
    <row r="326" spans="1:13" x14ac:dyDescent="0.4">
      <c r="A326" s="39">
        <v>22</v>
      </c>
      <c r="B326" s="39">
        <v>2</v>
      </c>
      <c r="C326" s="39">
        <v>5</v>
      </c>
      <c r="D326" s="39">
        <v>10</v>
      </c>
      <c r="E326" s="41">
        <v>8</v>
      </c>
      <c r="F326" s="41">
        <v>6.8</v>
      </c>
      <c r="G326" s="39">
        <v>15.6</v>
      </c>
      <c r="H326" s="39">
        <v>46</v>
      </c>
      <c r="I326" s="39">
        <v>8.6999999999999993</v>
      </c>
      <c r="J326" s="39">
        <v>33.5</v>
      </c>
      <c r="K326" s="39">
        <v>58.2</v>
      </c>
      <c r="L326" s="39">
        <v>95</v>
      </c>
      <c r="M326" s="39">
        <v>711.5</v>
      </c>
    </row>
    <row r="327" spans="1:13" x14ac:dyDescent="0.4">
      <c r="A327" s="39">
        <v>22</v>
      </c>
      <c r="B327" s="39">
        <v>3</v>
      </c>
      <c r="C327" s="39">
        <v>1</v>
      </c>
      <c r="D327" s="39">
        <v>11</v>
      </c>
      <c r="E327" s="41">
        <v>4</v>
      </c>
      <c r="F327" s="41">
        <v>11</v>
      </c>
      <c r="G327" s="39">
        <v>13.2</v>
      </c>
      <c r="H327" s="39">
        <v>46</v>
      </c>
      <c r="I327" s="39">
        <v>11</v>
      </c>
      <c r="J327" s="39">
        <v>35.799999999999997</v>
      </c>
      <c r="K327" s="39">
        <v>64</v>
      </c>
      <c r="L327" s="39">
        <v>95</v>
      </c>
      <c r="M327" s="39">
        <v>711.5</v>
      </c>
    </row>
    <row r="328" spans="1:13" x14ac:dyDescent="0.4">
      <c r="A328" s="39">
        <v>22</v>
      </c>
      <c r="B328" s="39">
        <v>3</v>
      </c>
      <c r="C328" s="39">
        <v>2</v>
      </c>
      <c r="D328" s="39">
        <v>12</v>
      </c>
      <c r="E328" s="41">
        <v>7.8</v>
      </c>
      <c r="F328" s="41">
        <v>7.1</v>
      </c>
      <c r="G328" s="39">
        <v>13</v>
      </c>
      <c r="H328" s="39">
        <v>46</v>
      </c>
      <c r="I328" s="39">
        <v>9.1999999999999993</v>
      </c>
      <c r="J328" s="39">
        <v>37</v>
      </c>
      <c r="K328" s="39">
        <v>65</v>
      </c>
      <c r="L328" s="39">
        <v>95</v>
      </c>
      <c r="M328" s="39">
        <v>711.5</v>
      </c>
    </row>
    <row r="329" spans="1:13" x14ac:dyDescent="0.4">
      <c r="A329" s="39">
        <v>22</v>
      </c>
      <c r="B329" s="39">
        <v>3</v>
      </c>
      <c r="C329" s="39">
        <v>3</v>
      </c>
      <c r="D329" s="39">
        <v>13</v>
      </c>
      <c r="E329" s="41">
        <v>7.4</v>
      </c>
      <c r="F329" s="41">
        <v>7.1</v>
      </c>
      <c r="G329" s="39">
        <v>14.7</v>
      </c>
      <c r="H329" s="39">
        <v>46</v>
      </c>
      <c r="I329" s="39">
        <v>10.1</v>
      </c>
      <c r="J329" s="39">
        <v>36.200000000000003</v>
      </c>
      <c r="K329" s="39">
        <v>62</v>
      </c>
      <c r="L329" s="39">
        <v>95</v>
      </c>
      <c r="M329" s="39">
        <v>711.5</v>
      </c>
    </row>
    <row r="330" spans="1:13" x14ac:dyDescent="0.4">
      <c r="A330" s="39">
        <v>22</v>
      </c>
      <c r="B330" s="39">
        <v>3</v>
      </c>
      <c r="C330" s="39">
        <v>4</v>
      </c>
      <c r="D330" s="39">
        <v>14</v>
      </c>
      <c r="E330" s="41">
        <v>7.8</v>
      </c>
      <c r="F330" s="41">
        <v>5</v>
      </c>
      <c r="G330" s="39">
        <v>14.4</v>
      </c>
      <c r="H330" s="39">
        <v>46</v>
      </c>
      <c r="I330" s="39">
        <v>10.7</v>
      </c>
      <c r="J330" s="39">
        <v>35</v>
      </c>
      <c r="K330" s="39">
        <v>60.6</v>
      </c>
      <c r="L330" s="39">
        <v>95</v>
      </c>
      <c r="M330" s="39">
        <v>711.5</v>
      </c>
    </row>
    <row r="331" spans="1:13" x14ac:dyDescent="0.4">
      <c r="A331" s="39">
        <v>22</v>
      </c>
      <c r="B331" s="39">
        <v>3</v>
      </c>
      <c r="C331" s="39">
        <v>5</v>
      </c>
      <c r="D331" s="39">
        <v>15</v>
      </c>
      <c r="E331" s="41">
        <v>8.6</v>
      </c>
      <c r="F331" s="41">
        <v>3.9</v>
      </c>
      <c r="G331" s="39">
        <v>15.4</v>
      </c>
      <c r="H331" s="39">
        <v>46</v>
      </c>
      <c r="I331" s="39">
        <v>10.7</v>
      </c>
      <c r="J331" s="39">
        <v>35.700000000000003</v>
      </c>
      <c r="K331" s="39">
        <v>61.2</v>
      </c>
      <c r="L331" s="39">
        <v>95</v>
      </c>
      <c r="M331" s="39">
        <v>711.5</v>
      </c>
    </row>
    <row r="332" spans="1:13" x14ac:dyDescent="0.4">
      <c r="A332" s="39">
        <v>22</v>
      </c>
      <c r="B332" s="39">
        <v>4</v>
      </c>
      <c r="C332" s="39">
        <v>1</v>
      </c>
      <c r="D332" s="39">
        <v>16</v>
      </c>
      <c r="E332" s="41">
        <v>3.6</v>
      </c>
      <c r="F332" s="41">
        <v>10.199999999999999</v>
      </c>
      <c r="G332" s="39">
        <v>13.3</v>
      </c>
      <c r="H332" s="39">
        <v>46</v>
      </c>
      <c r="I332" s="39">
        <v>10.6</v>
      </c>
      <c r="J332" s="39">
        <v>39</v>
      </c>
      <c r="K332" s="39">
        <v>62.5</v>
      </c>
      <c r="L332" s="39">
        <v>95</v>
      </c>
      <c r="M332" s="39">
        <v>711.5</v>
      </c>
    </row>
    <row r="333" spans="1:13" x14ac:dyDescent="0.4">
      <c r="A333" s="39">
        <v>22</v>
      </c>
      <c r="B333" s="39">
        <v>4</v>
      </c>
      <c r="C333" s="39">
        <v>2</v>
      </c>
      <c r="D333" s="39">
        <v>17</v>
      </c>
      <c r="E333" s="41">
        <v>7.2</v>
      </c>
      <c r="F333" s="41">
        <v>8.5</v>
      </c>
      <c r="G333" s="39">
        <v>14.5</v>
      </c>
      <c r="H333" s="39">
        <v>46</v>
      </c>
      <c r="I333" s="39">
        <v>11.1</v>
      </c>
      <c r="J333" s="39">
        <v>34</v>
      </c>
      <c r="K333" s="39">
        <v>66</v>
      </c>
      <c r="L333" s="39">
        <v>95</v>
      </c>
      <c r="M333" s="39">
        <v>711.5</v>
      </c>
    </row>
    <row r="334" spans="1:13" x14ac:dyDescent="0.4">
      <c r="A334" s="39">
        <v>22</v>
      </c>
      <c r="B334" s="39">
        <v>4</v>
      </c>
      <c r="C334" s="39">
        <v>3</v>
      </c>
      <c r="D334" s="39">
        <v>18</v>
      </c>
      <c r="E334" s="41">
        <v>7.4</v>
      </c>
      <c r="F334" s="41">
        <v>8.1</v>
      </c>
      <c r="G334" s="39">
        <v>13.8</v>
      </c>
      <c r="H334" s="39">
        <v>46</v>
      </c>
      <c r="I334" s="39">
        <v>9.3000000000000007</v>
      </c>
      <c r="J334" s="39">
        <v>34</v>
      </c>
      <c r="K334" s="39">
        <v>62.7</v>
      </c>
      <c r="L334" s="39">
        <v>95</v>
      </c>
      <c r="M334" s="39">
        <v>711.5</v>
      </c>
    </row>
    <row r="335" spans="1:13" x14ac:dyDescent="0.4">
      <c r="A335" s="39">
        <v>22</v>
      </c>
      <c r="B335" s="39">
        <v>4</v>
      </c>
      <c r="C335" s="39">
        <v>4</v>
      </c>
      <c r="D335" s="39">
        <v>19</v>
      </c>
      <c r="E335" s="41">
        <v>7.4</v>
      </c>
      <c r="F335" s="41">
        <v>8.1</v>
      </c>
      <c r="G335" s="39">
        <v>13.8</v>
      </c>
      <c r="H335" s="39">
        <v>46</v>
      </c>
      <c r="I335" s="39">
        <v>9.3000000000000007</v>
      </c>
      <c r="J335" s="39">
        <v>34</v>
      </c>
      <c r="K335" s="39">
        <v>62.7</v>
      </c>
      <c r="L335" s="39">
        <v>95</v>
      </c>
      <c r="M335" s="39">
        <v>711.5</v>
      </c>
    </row>
    <row r="336" spans="1:13" x14ac:dyDescent="0.4">
      <c r="A336" s="39">
        <v>22</v>
      </c>
      <c r="B336" s="39">
        <v>4</v>
      </c>
      <c r="C336" s="39">
        <v>5</v>
      </c>
      <c r="D336" s="39">
        <v>20</v>
      </c>
      <c r="E336" s="41">
        <v>7.2</v>
      </c>
      <c r="F336" s="41">
        <v>5.9</v>
      </c>
      <c r="G336" s="39">
        <v>15</v>
      </c>
      <c r="H336" s="39">
        <v>46</v>
      </c>
      <c r="I336" s="39">
        <v>7</v>
      </c>
      <c r="J336" s="39">
        <v>35</v>
      </c>
      <c r="K336" s="39">
        <v>61.5</v>
      </c>
      <c r="L336" s="39">
        <v>95</v>
      </c>
      <c r="M336" s="39">
        <v>711.5</v>
      </c>
    </row>
    <row r="337" spans="1:13" x14ac:dyDescent="0.4">
      <c r="A337" s="39">
        <v>22</v>
      </c>
      <c r="B337" s="39">
        <v>5</v>
      </c>
      <c r="C337" s="39">
        <v>1</v>
      </c>
      <c r="D337" s="39">
        <v>21</v>
      </c>
      <c r="E337" s="41">
        <v>4.5</v>
      </c>
      <c r="F337" s="41">
        <v>12</v>
      </c>
      <c r="G337" s="39">
        <v>15.3</v>
      </c>
      <c r="H337" s="39">
        <v>46</v>
      </c>
      <c r="I337" s="39">
        <v>11</v>
      </c>
      <c r="J337" s="39">
        <v>39</v>
      </c>
      <c r="K337" s="39">
        <v>63.7</v>
      </c>
      <c r="L337" s="39">
        <v>95</v>
      </c>
      <c r="M337" s="39">
        <v>711.5</v>
      </c>
    </row>
    <row r="338" spans="1:13" x14ac:dyDescent="0.4">
      <c r="A338" s="39">
        <v>22</v>
      </c>
      <c r="B338" s="39">
        <v>5</v>
      </c>
      <c r="C338" s="39">
        <v>2</v>
      </c>
      <c r="D338" s="39">
        <v>22</v>
      </c>
      <c r="E338" s="41">
        <v>6.5</v>
      </c>
      <c r="F338" s="41">
        <v>8</v>
      </c>
      <c r="G338" s="39">
        <v>16</v>
      </c>
      <c r="H338" s="39">
        <v>46</v>
      </c>
      <c r="I338" s="39">
        <v>10.9</v>
      </c>
      <c r="J338" s="39">
        <v>35.5</v>
      </c>
      <c r="K338" s="39">
        <v>63</v>
      </c>
      <c r="L338" s="39">
        <v>95</v>
      </c>
      <c r="M338" s="39">
        <v>711.5</v>
      </c>
    </row>
    <row r="339" spans="1:13" x14ac:dyDescent="0.4">
      <c r="A339" s="39">
        <v>22</v>
      </c>
      <c r="B339" s="39">
        <v>5</v>
      </c>
      <c r="C339" s="39">
        <v>3</v>
      </c>
      <c r="D339" s="39">
        <v>23</v>
      </c>
      <c r="E339" s="41">
        <v>6.5</v>
      </c>
      <c r="F339" s="41">
        <v>8</v>
      </c>
      <c r="G339" s="39">
        <v>16</v>
      </c>
      <c r="H339" s="39">
        <v>46</v>
      </c>
      <c r="I339" s="39">
        <v>10.9</v>
      </c>
      <c r="J339" s="39">
        <v>35.5</v>
      </c>
      <c r="K339" s="39">
        <v>63</v>
      </c>
      <c r="L339" s="39">
        <v>95</v>
      </c>
      <c r="M339" s="39">
        <v>711.5</v>
      </c>
    </row>
    <row r="340" spans="1:13" x14ac:dyDescent="0.4">
      <c r="A340" s="39">
        <v>22</v>
      </c>
      <c r="B340" s="39">
        <v>5</v>
      </c>
      <c r="C340" s="39">
        <v>4</v>
      </c>
      <c r="D340" s="39">
        <v>24</v>
      </c>
      <c r="E340" s="41">
        <v>7.5</v>
      </c>
      <c r="F340" s="41">
        <v>8.5</v>
      </c>
      <c r="G340" s="39">
        <v>17.5</v>
      </c>
      <c r="H340" s="39">
        <v>46</v>
      </c>
      <c r="I340" s="39">
        <v>10.199999999999999</v>
      </c>
      <c r="J340" s="39">
        <v>37.6</v>
      </c>
      <c r="K340" s="39">
        <v>64.3</v>
      </c>
      <c r="L340" s="39">
        <v>95</v>
      </c>
      <c r="M340" s="39">
        <v>711.5</v>
      </c>
    </row>
    <row r="341" spans="1:13" x14ac:dyDescent="0.4">
      <c r="A341" s="39">
        <v>22</v>
      </c>
      <c r="B341" s="39">
        <v>5</v>
      </c>
      <c r="C341" s="39">
        <v>5</v>
      </c>
      <c r="D341" s="39">
        <v>25</v>
      </c>
      <c r="E341" s="41">
        <v>7.8</v>
      </c>
      <c r="F341" s="41">
        <v>5</v>
      </c>
      <c r="G341" s="39">
        <v>18</v>
      </c>
      <c r="H341" s="39">
        <v>46</v>
      </c>
      <c r="I341" s="39">
        <v>9.3000000000000007</v>
      </c>
      <c r="J341" s="39">
        <v>39</v>
      </c>
      <c r="K341" s="39">
        <v>62.7</v>
      </c>
      <c r="L341" s="39">
        <v>95</v>
      </c>
      <c r="M341" s="39">
        <v>711.5</v>
      </c>
    </row>
    <row r="342" spans="1:13" x14ac:dyDescent="0.4">
      <c r="A342" s="40">
        <v>23</v>
      </c>
      <c r="B342" s="40">
        <v>1</v>
      </c>
      <c r="C342" s="40">
        <v>1</v>
      </c>
      <c r="D342" s="40">
        <v>1</v>
      </c>
      <c r="E342" s="41">
        <v>4.8</v>
      </c>
      <c r="F342" s="41">
        <v>2.6</v>
      </c>
      <c r="G342" s="40">
        <v>9.5</v>
      </c>
      <c r="H342" s="40">
        <v>36</v>
      </c>
      <c r="I342" s="40">
        <v>11.4</v>
      </c>
      <c r="J342" s="40">
        <v>35</v>
      </c>
      <c r="K342" s="40">
        <v>62</v>
      </c>
      <c r="L342" s="40">
        <v>92</v>
      </c>
      <c r="M342" s="40">
        <v>669</v>
      </c>
    </row>
    <row r="343" spans="1:13" x14ac:dyDescent="0.4">
      <c r="A343" s="40">
        <v>23</v>
      </c>
      <c r="B343" s="40">
        <v>1</v>
      </c>
      <c r="C343" s="40">
        <v>2</v>
      </c>
      <c r="D343" s="40">
        <v>2</v>
      </c>
      <c r="E343" s="41">
        <v>5.0999999999999996</v>
      </c>
      <c r="F343" s="41">
        <v>4.7</v>
      </c>
      <c r="G343" s="40">
        <v>11.1</v>
      </c>
      <c r="H343" s="40">
        <v>36</v>
      </c>
      <c r="I343" s="40">
        <v>12.3</v>
      </c>
      <c r="J343" s="40">
        <v>35</v>
      </c>
      <c r="K343" s="40">
        <v>63</v>
      </c>
      <c r="L343" s="40">
        <v>92</v>
      </c>
      <c r="M343" s="40">
        <v>669</v>
      </c>
    </row>
    <row r="344" spans="1:13" x14ac:dyDescent="0.4">
      <c r="A344" s="40">
        <v>23</v>
      </c>
      <c r="B344" s="40">
        <v>1</v>
      </c>
      <c r="C344" s="40">
        <v>3</v>
      </c>
      <c r="D344" s="40">
        <v>3</v>
      </c>
      <c r="E344" s="41">
        <v>6.4</v>
      </c>
      <c r="F344" s="41">
        <v>5.18</v>
      </c>
      <c r="G344" s="40">
        <v>11.52</v>
      </c>
      <c r="H344" s="40">
        <v>36</v>
      </c>
      <c r="I344" s="40">
        <v>11</v>
      </c>
      <c r="J344" s="40">
        <v>37</v>
      </c>
      <c r="K344" s="40">
        <v>57.3</v>
      </c>
      <c r="L344" s="40">
        <v>92</v>
      </c>
      <c r="M344" s="40">
        <v>669</v>
      </c>
    </row>
    <row r="345" spans="1:13" x14ac:dyDescent="0.4">
      <c r="A345" s="40">
        <v>23</v>
      </c>
      <c r="B345" s="40">
        <v>1</v>
      </c>
      <c r="C345" s="40">
        <v>4</v>
      </c>
      <c r="D345" s="40">
        <v>4</v>
      </c>
      <c r="E345" s="41">
        <v>5.4</v>
      </c>
      <c r="F345" s="41">
        <v>5.2</v>
      </c>
      <c r="G345" s="40">
        <v>12.6</v>
      </c>
      <c r="H345" s="40">
        <v>36</v>
      </c>
      <c r="I345" s="40">
        <v>12</v>
      </c>
      <c r="J345" s="40">
        <v>37</v>
      </c>
      <c r="K345" s="40">
        <v>59</v>
      </c>
      <c r="L345" s="40">
        <v>92</v>
      </c>
      <c r="M345" s="40">
        <v>669</v>
      </c>
    </row>
    <row r="346" spans="1:13" x14ac:dyDescent="0.4">
      <c r="A346" s="40">
        <v>23</v>
      </c>
      <c r="B346" s="40">
        <v>1</v>
      </c>
      <c r="C346" s="40">
        <v>5</v>
      </c>
      <c r="D346" s="40">
        <v>5</v>
      </c>
      <c r="E346" s="41">
        <v>5.9</v>
      </c>
      <c r="F346" s="41">
        <v>5.5</v>
      </c>
      <c r="G346" s="40">
        <v>15.46</v>
      </c>
      <c r="H346" s="40">
        <v>36</v>
      </c>
      <c r="I346" s="40">
        <v>10.5</v>
      </c>
      <c r="J346" s="40">
        <v>35.299999999999997</v>
      </c>
      <c r="K346" s="40">
        <v>53.2</v>
      </c>
      <c r="L346" s="40">
        <v>92</v>
      </c>
      <c r="M346" s="40">
        <v>669</v>
      </c>
    </row>
    <row r="347" spans="1:13" x14ac:dyDescent="0.4">
      <c r="A347" s="40">
        <v>23</v>
      </c>
      <c r="B347" s="40">
        <v>2</v>
      </c>
      <c r="C347" s="40">
        <v>1</v>
      </c>
      <c r="D347" s="40">
        <v>6</v>
      </c>
      <c r="E347" s="41">
        <v>6.75</v>
      </c>
      <c r="F347" s="41">
        <v>5</v>
      </c>
      <c r="G347" s="40">
        <v>14.22</v>
      </c>
      <c r="H347" s="40">
        <v>36</v>
      </c>
      <c r="I347" s="40">
        <v>10.5</v>
      </c>
      <c r="J347" s="40">
        <v>36</v>
      </c>
      <c r="K347" s="40">
        <v>54.5</v>
      </c>
      <c r="L347" s="40">
        <v>92</v>
      </c>
      <c r="M347" s="40">
        <v>669</v>
      </c>
    </row>
    <row r="348" spans="1:13" x14ac:dyDescent="0.4">
      <c r="A348" s="40">
        <v>23</v>
      </c>
      <c r="B348" s="40">
        <v>2</v>
      </c>
      <c r="C348" s="40">
        <v>2</v>
      </c>
      <c r="D348" s="40">
        <v>7</v>
      </c>
      <c r="E348" s="41">
        <v>5.8</v>
      </c>
      <c r="F348" s="41">
        <v>3</v>
      </c>
      <c r="G348" s="40">
        <v>13.8</v>
      </c>
      <c r="H348" s="40">
        <v>36</v>
      </c>
      <c r="I348" s="40">
        <v>10.5</v>
      </c>
      <c r="J348" s="40">
        <v>35</v>
      </c>
      <c r="K348" s="40">
        <v>51.5</v>
      </c>
      <c r="L348" s="40">
        <v>92</v>
      </c>
      <c r="M348" s="40">
        <v>669</v>
      </c>
    </row>
    <row r="349" spans="1:13" x14ac:dyDescent="0.4">
      <c r="A349" s="40">
        <v>23</v>
      </c>
      <c r="B349" s="40">
        <v>2</v>
      </c>
      <c r="C349" s="40">
        <v>3</v>
      </c>
      <c r="D349" s="40">
        <v>8</v>
      </c>
      <c r="E349" s="41">
        <v>6.5</v>
      </c>
      <c r="F349" s="41">
        <v>5.5</v>
      </c>
      <c r="G349" s="40">
        <v>15.5</v>
      </c>
      <c r="H349" s="40">
        <v>36</v>
      </c>
      <c r="I349" s="40">
        <v>12</v>
      </c>
      <c r="J349" s="40">
        <v>37</v>
      </c>
      <c r="K349" s="40">
        <v>53</v>
      </c>
      <c r="L349" s="40">
        <v>92</v>
      </c>
      <c r="M349" s="40">
        <v>669</v>
      </c>
    </row>
    <row r="350" spans="1:13" x14ac:dyDescent="0.4">
      <c r="A350" s="40">
        <v>23</v>
      </c>
      <c r="B350" s="40">
        <v>2</v>
      </c>
      <c r="C350" s="40">
        <v>4</v>
      </c>
      <c r="D350" s="40">
        <v>9</v>
      </c>
      <c r="E350" s="41">
        <v>9.4</v>
      </c>
      <c r="F350" s="41">
        <v>6.5</v>
      </c>
      <c r="G350" s="40">
        <v>15.6</v>
      </c>
      <c r="H350" s="40">
        <v>36</v>
      </c>
      <c r="I350" s="40">
        <v>11.4</v>
      </c>
      <c r="J350" s="40">
        <v>36</v>
      </c>
      <c r="K350" s="40">
        <v>54.3</v>
      </c>
      <c r="L350" s="40">
        <v>92</v>
      </c>
      <c r="M350" s="40">
        <v>669</v>
      </c>
    </row>
    <row r="351" spans="1:13" x14ac:dyDescent="0.4">
      <c r="A351" s="40">
        <v>23</v>
      </c>
      <c r="B351" s="40">
        <v>2</v>
      </c>
      <c r="C351" s="40">
        <v>5</v>
      </c>
      <c r="D351" s="40">
        <v>10</v>
      </c>
      <c r="E351" s="41">
        <v>10.35</v>
      </c>
      <c r="F351" s="41">
        <v>3.3</v>
      </c>
      <c r="G351" s="40">
        <v>16.149999999999999</v>
      </c>
      <c r="H351" s="40">
        <v>36</v>
      </c>
      <c r="I351" s="40">
        <v>10.7</v>
      </c>
      <c r="J351" s="40">
        <v>37</v>
      </c>
      <c r="K351" s="40">
        <v>51</v>
      </c>
      <c r="L351" s="40">
        <v>92</v>
      </c>
      <c r="M351" s="40">
        <v>669</v>
      </c>
    </row>
    <row r="352" spans="1:13" x14ac:dyDescent="0.4">
      <c r="A352" s="40">
        <v>23</v>
      </c>
      <c r="B352" s="40">
        <v>3</v>
      </c>
      <c r="C352" s="40">
        <v>1</v>
      </c>
      <c r="D352" s="40">
        <v>11</v>
      </c>
      <c r="E352" s="41">
        <v>5.35</v>
      </c>
      <c r="F352" s="41">
        <v>3.3</v>
      </c>
      <c r="G352" s="40">
        <v>10.46</v>
      </c>
      <c r="H352" s="40">
        <v>36</v>
      </c>
      <c r="I352" s="40">
        <v>11.1</v>
      </c>
      <c r="J352" s="40">
        <v>35.4</v>
      </c>
      <c r="K352" s="40">
        <v>57</v>
      </c>
      <c r="L352" s="40">
        <v>92</v>
      </c>
      <c r="M352" s="40">
        <v>669</v>
      </c>
    </row>
    <row r="353" spans="1:13" x14ac:dyDescent="0.4">
      <c r="A353" s="40">
        <v>23</v>
      </c>
      <c r="B353" s="40">
        <v>3</v>
      </c>
      <c r="C353" s="40">
        <v>2</v>
      </c>
      <c r="D353" s="40">
        <v>12</v>
      </c>
      <c r="E353" s="41">
        <v>7</v>
      </c>
      <c r="F353" s="41">
        <v>3.2</v>
      </c>
      <c r="G353" s="40">
        <v>14</v>
      </c>
      <c r="H353" s="40">
        <v>36</v>
      </c>
      <c r="I353" s="40">
        <v>10.6</v>
      </c>
      <c r="J353" s="40">
        <v>33.9</v>
      </c>
      <c r="K353" s="40">
        <v>55.1</v>
      </c>
      <c r="L353" s="40">
        <v>92</v>
      </c>
      <c r="M353" s="40">
        <v>669</v>
      </c>
    </row>
    <row r="354" spans="1:13" x14ac:dyDescent="0.4">
      <c r="A354" s="40">
        <v>23</v>
      </c>
      <c r="B354" s="40">
        <v>3</v>
      </c>
      <c r="C354" s="40">
        <v>3</v>
      </c>
      <c r="D354" s="40">
        <v>13</v>
      </c>
      <c r="E354" s="41">
        <v>5.3</v>
      </c>
      <c r="F354" s="41">
        <v>4.5</v>
      </c>
      <c r="G354" s="40">
        <v>13.4</v>
      </c>
      <c r="H354" s="40">
        <v>36</v>
      </c>
      <c r="I354" s="40">
        <v>11.6</v>
      </c>
      <c r="J354" s="40">
        <v>34.700000000000003</v>
      </c>
      <c r="K354" s="40">
        <v>55.4</v>
      </c>
      <c r="L354" s="40">
        <v>92</v>
      </c>
      <c r="M354" s="40">
        <v>669</v>
      </c>
    </row>
    <row r="355" spans="1:13" x14ac:dyDescent="0.4">
      <c r="A355" s="40">
        <v>23</v>
      </c>
      <c r="B355" s="40">
        <v>3</v>
      </c>
      <c r="C355" s="40">
        <v>4</v>
      </c>
      <c r="D355" s="40">
        <v>14</v>
      </c>
      <c r="E355" s="41">
        <v>7.7</v>
      </c>
      <c r="F355" s="41">
        <v>3.7</v>
      </c>
      <c r="G355" s="40">
        <v>17</v>
      </c>
      <c r="H355" s="40">
        <v>36</v>
      </c>
      <c r="I355" s="40">
        <v>12.2</v>
      </c>
      <c r="J355" s="40">
        <v>35.6</v>
      </c>
      <c r="K355" s="40">
        <v>50.5</v>
      </c>
      <c r="L355" s="40">
        <v>92</v>
      </c>
      <c r="M355" s="40">
        <v>669</v>
      </c>
    </row>
    <row r="356" spans="1:13" x14ac:dyDescent="0.4">
      <c r="A356" s="40">
        <v>23</v>
      </c>
      <c r="B356" s="40">
        <v>3</v>
      </c>
      <c r="C356" s="40">
        <v>5</v>
      </c>
      <c r="D356" s="40">
        <v>15</v>
      </c>
      <c r="E356" s="41">
        <v>0</v>
      </c>
      <c r="F356" s="41">
        <v>0</v>
      </c>
      <c r="G356" s="40">
        <v>17.5</v>
      </c>
      <c r="H356" s="40">
        <v>36</v>
      </c>
      <c r="I356" s="40">
        <v>10.4</v>
      </c>
      <c r="J356" s="40">
        <v>37.5</v>
      </c>
      <c r="K356" s="40">
        <v>50.2</v>
      </c>
      <c r="L356" s="40">
        <v>92</v>
      </c>
      <c r="M356" s="40">
        <v>669</v>
      </c>
    </row>
    <row r="357" spans="1:13" x14ac:dyDescent="0.4">
      <c r="A357" s="40">
        <v>23</v>
      </c>
      <c r="B357" s="40">
        <v>4</v>
      </c>
      <c r="C357" s="40">
        <v>1</v>
      </c>
      <c r="D357" s="40">
        <v>16</v>
      </c>
      <c r="E357" s="41">
        <v>2.5</v>
      </c>
      <c r="F357" s="41">
        <v>2.5</v>
      </c>
      <c r="G357" s="40">
        <v>9.6999999999999993</v>
      </c>
      <c r="H357" s="40">
        <v>36</v>
      </c>
      <c r="I357" s="40">
        <v>9.1999999999999993</v>
      </c>
      <c r="J357" s="40">
        <v>37.200000000000003</v>
      </c>
      <c r="K357" s="40">
        <v>57.8</v>
      </c>
      <c r="L357" s="40">
        <v>92</v>
      </c>
      <c r="M357" s="40">
        <v>669</v>
      </c>
    </row>
    <row r="358" spans="1:13" x14ac:dyDescent="0.4">
      <c r="A358" s="40">
        <v>23</v>
      </c>
      <c r="B358" s="40">
        <v>4</v>
      </c>
      <c r="C358" s="40">
        <v>2</v>
      </c>
      <c r="D358" s="40">
        <v>17</v>
      </c>
      <c r="E358" s="41">
        <v>4.5</v>
      </c>
      <c r="F358" s="41">
        <v>3</v>
      </c>
      <c r="G358" s="40">
        <v>12.6</v>
      </c>
      <c r="H358" s="40">
        <v>36</v>
      </c>
      <c r="I358" s="40">
        <v>9.1999999999999993</v>
      </c>
      <c r="J358" s="40">
        <v>37.5</v>
      </c>
      <c r="K358" s="40">
        <v>56.1</v>
      </c>
      <c r="L358" s="40">
        <v>92</v>
      </c>
      <c r="M358" s="40">
        <v>669</v>
      </c>
    </row>
    <row r="359" spans="1:13" x14ac:dyDescent="0.4">
      <c r="A359" s="40">
        <v>23</v>
      </c>
      <c r="B359" s="40">
        <v>4</v>
      </c>
      <c r="C359" s="40">
        <v>3</v>
      </c>
      <c r="D359" s="40">
        <v>18</v>
      </c>
      <c r="E359" s="41">
        <v>4</v>
      </c>
      <c r="F359" s="41">
        <v>2.2000000000000002</v>
      </c>
      <c r="G359" s="40">
        <v>12</v>
      </c>
      <c r="H359" s="40">
        <v>36</v>
      </c>
      <c r="I359" s="40">
        <v>11</v>
      </c>
      <c r="J359" s="40">
        <v>36.200000000000003</v>
      </c>
      <c r="K359" s="40">
        <v>54</v>
      </c>
      <c r="L359" s="40">
        <v>92</v>
      </c>
      <c r="M359" s="40">
        <v>669</v>
      </c>
    </row>
    <row r="360" spans="1:13" x14ac:dyDescent="0.4">
      <c r="A360" s="40">
        <v>23</v>
      </c>
      <c r="B360" s="40">
        <v>4</v>
      </c>
      <c r="C360" s="40">
        <v>4</v>
      </c>
      <c r="D360" s="40">
        <v>19</v>
      </c>
      <c r="E360" s="41">
        <v>6</v>
      </c>
      <c r="F360" s="41">
        <v>3.4</v>
      </c>
      <c r="G360" s="40">
        <v>15.6</v>
      </c>
      <c r="H360" s="40">
        <v>36</v>
      </c>
      <c r="I360" s="40">
        <v>11.2</v>
      </c>
      <c r="J360" s="40">
        <v>35.799999999999997</v>
      </c>
      <c r="K360" s="40">
        <v>53.5</v>
      </c>
      <c r="L360" s="40">
        <v>92</v>
      </c>
      <c r="M360" s="40">
        <v>669</v>
      </c>
    </row>
    <row r="361" spans="1:13" x14ac:dyDescent="0.4">
      <c r="A361" s="40">
        <v>23</v>
      </c>
      <c r="B361" s="40">
        <v>4</v>
      </c>
      <c r="C361" s="40">
        <v>5</v>
      </c>
      <c r="D361" s="40">
        <v>20</v>
      </c>
      <c r="E361" s="41">
        <v>7.6</v>
      </c>
      <c r="F361" s="41">
        <v>3.3</v>
      </c>
      <c r="G361" s="40">
        <v>15.2</v>
      </c>
      <c r="H361" s="40">
        <v>36</v>
      </c>
      <c r="I361" s="40">
        <v>11.2</v>
      </c>
      <c r="J361" s="40">
        <v>37.700000000000003</v>
      </c>
      <c r="K361" s="40">
        <v>50</v>
      </c>
      <c r="L361" s="40">
        <v>92</v>
      </c>
      <c r="M361" s="40">
        <v>669</v>
      </c>
    </row>
    <row r="362" spans="1:13" x14ac:dyDescent="0.4">
      <c r="A362" s="40">
        <v>23</v>
      </c>
      <c r="B362" s="40">
        <v>5</v>
      </c>
      <c r="C362" s="40">
        <v>1</v>
      </c>
      <c r="D362" s="40">
        <v>21</v>
      </c>
      <c r="E362" s="41">
        <v>5.4</v>
      </c>
      <c r="F362" s="41">
        <v>5.5</v>
      </c>
      <c r="G362" s="40">
        <v>12.1</v>
      </c>
      <c r="H362" s="40">
        <v>36</v>
      </c>
      <c r="I362" s="40">
        <v>12.3</v>
      </c>
      <c r="J362" s="40">
        <v>37.5</v>
      </c>
      <c r="K362" s="40">
        <v>57.5</v>
      </c>
      <c r="L362" s="40">
        <v>92</v>
      </c>
      <c r="M362" s="40">
        <v>669</v>
      </c>
    </row>
    <row r="363" spans="1:13" x14ac:dyDescent="0.4">
      <c r="A363" s="40">
        <v>23</v>
      </c>
      <c r="B363" s="40">
        <v>5</v>
      </c>
      <c r="C363" s="40">
        <v>2</v>
      </c>
      <c r="D363" s="40">
        <v>22</v>
      </c>
      <c r="E363" s="41">
        <v>5.5</v>
      </c>
      <c r="F363" s="41">
        <v>4.8499999999999996</v>
      </c>
      <c r="G363" s="40">
        <v>12.5</v>
      </c>
      <c r="H363" s="40">
        <v>36</v>
      </c>
      <c r="I363" s="40">
        <v>10.9</v>
      </c>
      <c r="J363" s="40">
        <v>35.700000000000003</v>
      </c>
      <c r="K363" s="40">
        <v>56</v>
      </c>
      <c r="L363" s="40">
        <v>92</v>
      </c>
      <c r="M363" s="40">
        <v>669</v>
      </c>
    </row>
    <row r="364" spans="1:13" x14ac:dyDescent="0.4">
      <c r="A364" s="40">
        <v>23</v>
      </c>
      <c r="B364" s="40">
        <v>5</v>
      </c>
      <c r="C364" s="40">
        <v>3</v>
      </c>
      <c r="D364" s="40">
        <v>23</v>
      </c>
      <c r="E364" s="41">
        <v>6.1</v>
      </c>
      <c r="F364" s="41">
        <v>3.9</v>
      </c>
      <c r="G364" s="40">
        <v>15</v>
      </c>
      <c r="H364" s="40">
        <v>36</v>
      </c>
      <c r="I364" s="40">
        <v>9.9</v>
      </c>
      <c r="J364" s="40">
        <v>35.200000000000003</v>
      </c>
      <c r="K364" s="40">
        <v>55</v>
      </c>
      <c r="L364" s="40">
        <v>92</v>
      </c>
      <c r="M364" s="40">
        <v>669</v>
      </c>
    </row>
    <row r="365" spans="1:13" x14ac:dyDescent="0.4">
      <c r="A365" s="40">
        <v>23</v>
      </c>
      <c r="B365" s="40">
        <v>5</v>
      </c>
      <c r="C365" s="40">
        <v>4</v>
      </c>
      <c r="D365" s="40">
        <v>24</v>
      </c>
      <c r="E365" s="41">
        <v>9.1</v>
      </c>
      <c r="F365" s="41">
        <v>3.2</v>
      </c>
      <c r="G365" s="40">
        <v>16</v>
      </c>
      <c r="H365" s="40">
        <v>36</v>
      </c>
      <c r="I365" s="40">
        <v>9.5</v>
      </c>
      <c r="J365" s="40">
        <v>33</v>
      </c>
      <c r="K365" s="40">
        <v>51.5</v>
      </c>
      <c r="L365" s="40">
        <v>92</v>
      </c>
      <c r="M365" s="40">
        <v>669</v>
      </c>
    </row>
    <row r="366" spans="1:13" x14ac:dyDescent="0.4">
      <c r="A366" s="40">
        <v>23</v>
      </c>
      <c r="B366" s="40">
        <v>5</v>
      </c>
      <c r="C366" s="40">
        <v>5</v>
      </c>
      <c r="D366" s="40">
        <v>25</v>
      </c>
      <c r="E366" s="41">
        <v>9.8000000000000007</v>
      </c>
      <c r="F366" s="41">
        <v>3.4</v>
      </c>
      <c r="G366" s="40">
        <v>17.7</v>
      </c>
      <c r="H366" s="40">
        <v>36</v>
      </c>
      <c r="I366" s="40">
        <v>10.3</v>
      </c>
      <c r="J366" s="40">
        <v>37.700000000000003</v>
      </c>
      <c r="K366" s="40">
        <v>51</v>
      </c>
      <c r="L366" s="40">
        <v>92</v>
      </c>
      <c r="M366" s="40">
        <v>669</v>
      </c>
    </row>
    <row r="367" spans="1:13" x14ac:dyDescent="0.4">
      <c r="A367" s="39">
        <v>24</v>
      </c>
      <c r="B367" s="39">
        <v>1</v>
      </c>
      <c r="C367" s="39">
        <v>1</v>
      </c>
      <c r="D367" s="39">
        <v>1</v>
      </c>
      <c r="E367" s="41">
        <v>2.1</v>
      </c>
      <c r="F367" s="41">
        <v>5</v>
      </c>
      <c r="G367" s="39">
        <v>8.6999999999999993</v>
      </c>
      <c r="H367" s="39">
        <v>34</v>
      </c>
      <c r="I367" s="39">
        <v>12.6</v>
      </c>
      <c r="J367" s="39">
        <v>32.4</v>
      </c>
      <c r="K367" s="39">
        <v>45.8</v>
      </c>
      <c r="L367" s="39">
        <v>80</v>
      </c>
      <c r="M367" s="39">
        <v>881</v>
      </c>
    </row>
    <row r="368" spans="1:13" x14ac:dyDescent="0.4">
      <c r="A368" s="39">
        <v>24</v>
      </c>
      <c r="B368" s="39">
        <v>1</v>
      </c>
      <c r="C368" s="39">
        <v>2</v>
      </c>
      <c r="D368" s="39">
        <v>2</v>
      </c>
      <c r="E368" s="41">
        <v>3.1</v>
      </c>
      <c r="F368" s="41">
        <v>4.9000000000000004</v>
      </c>
      <c r="G368" s="39">
        <v>11.4</v>
      </c>
      <c r="H368" s="39">
        <v>34</v>
      </c>
      <c r="I368" s="39">
        <v>12.2</v>
      </c>
      <c r="J368" s="39">
        <v>33.6</v>
      </c>
      <c r="K368" s="39">
        <v>48.1</v>
      </c>
      <c r="L368" s="39">
        <v>80</v>
      </c>
      <c r="M368" s="39">
        <v>881</v>
      </c>
    </row>
    <row r="369" spans="1:13" x14ac:dyDescent="0.4">
      <c r="A369" s="39">
        <v>24</v>
      </c>
      <c r="B369" s="39">
        <v>1</v>
      </c>
      <c r="C369" s="39">
        <v>3</v>
      </c>
      <c r="D369" s="39">
        <v>3</v>
      </c>
      <c r="E369" s="41">
        <v>2.2000000000000002</v>
      </c>
      <c r="F369" s="41">
        <v>5.5</v>
      </c>
      <c r="G369" s="39">
        <v>11</v>
      </c>
      <c r="H369" s="39">
        <v>34</v>
      </c>
      <c r="I369" s="39">
        <v>11.6</v>
      </c>
      <c r="J369" s="39">
        <v>34.200000000000003</v>
      </c>
      <c r="K369" s="39">
        <v>49</v>
      </c>
      <c r="L369" s="39">
        <v>80</v>
      </c>
      <c r="M369" s="39">
        <v>881</v>
      </c>
    </row>
    <row r="370" spans="1:13" x14ac:dyDescent="0.4">
      <c r="A370" s="39">
        <v>24</v>
      </c>
      <c r="B370" s="39">
        <v>1</v>
      </c>
      <c r="C370" s="39">
        <v>4</v>
      </c>
      <c r="D370" s="39">
        <v>4</v>
      </c>
      <c r="E370" s="41">
        <v>1.4</v>
      </c>
      <c r="F370" s="41">
        <v>3.3</v>
      </c>
      <c r="G370" s="39">
        <v>11.7</v>
      </c>
      <c r="H370" s="39">
        <v>34</v>
      </c>
      <c r="I370" s="39">
        <v>9.8000000000000007</v>
      </c>
      <c r="J370" s="39">
        <v>32.200000000000003</v>
      </c>
      <c r="K370" s="39">
        <v>49</v>
      </c>
      <c r="L370" s="39">
        <v>80</v>
      </c>
      <c r="M370" s="39">
        <v>881</v>
      </c>
    </row>
    <row r="371" spans="1:13" x14ac:dyDescent="0.4">
      <c r="A371" s="39">
        <v>24</v>
      </c>
      <c r="B371" s="39">
        <v>1</v>
      </c>
      <c r="C371" s="39">
        <v>5</v>
      </c>
      <c r="D371" s="39">
        <v>5</v>
      </c>
      <c r="E371" s="41">
        <v>1.3</v>
      </c>
      <c r="F371" s="41">
        <v>4.5</v>
      </c>
      <c r="G371" s="39">
        <v>10.5</v>
      </c>
      <c r="H371" s="39">
        <v>34</v>
      </c>
      <c r="I371" s="39">
        <v>10.3</v>
      </c>
      <c r="J371" s="39">
        <v>32.299999999999997</v>
      </c>
      <c r="K371" s="39">
        <v>47.7</v>
      </c>
      <c r="L371" s="39">
        <v>80</v>
      </c>
      <c r="M371" s="39">
        <v>881</v>
      </c>
    </row>
    <row r="372" spans="1:13" x14ac:dyDescent="0.4">
      <c r="A372" s="39">
        <v>24</v>
      </c>
      <c r="B372" s="39">
        <v>2</v>
      </c>
      <c r="C372" s="39">
        <v>1</v>
      </c>
      <c r="D372" s="39">
        <v>6</v>
      </c>
      <c r="E372" s="41">
        <v>1.65</v>
      </c>
      <c r="F372" s="41">
        <v>2.5</v>
      </c>
      <c r="G372" s="39">
        <v>11.7</v>
      </c>
      <c r="H372" s="39">
        <v>34</v>
      </c>
      <c r="I372" s="39">
        <v>9.64</v>
      </c>
      <c r="J372" s="39">
        <v>32.799999999999997</v>
      </c>
      <c r="K372" s="39">
        <v>51</v>
      </c>
      <c r="L372" s="39">
        <v>80</v>
      </c>
      <c r="M372" s="39">
        <v>881</v>
      </c>
    </row>
    <row r="373" spans="1:13" x14ac:dyDescent="0.4">
      <c r="A373" s="39">
        <v>24</v>
      </c>
      <c r="B373" s="39">
        <v>2</v>
      </c>
      <c r="C373" s="39">
        <v>2</v>
      </c>
      <c r="D373" s="39">
        <v>7</v>
      </c>
      <c r="E373" s="41">
        <v>1.5</v>
      </c>
      <c r="F373" s="41">
        <v>2.7</v>
      </c>
      <c r="G373" s="39">
        <v>12</v>
      </c>
      <c r="H373" s="39">
        <v>34</v>
      </c>
      <c r="I373" s="39">
        <v>10.199999999999999</v>
      </c>
      <c r="J373" s="39">
        <v>34</v>
      </c>
      <c r="K373" s="39">
        <v>49.5</v>
      </c>
      <c r="L373" s="39">
        <v>80</v>
      </c>
      <c r="M373" s="39">
        <v>881</v>
      </c>
    </row>
    <row r="374" spans="1:13" x14ac:dyDescent="0.4">
      <c r="A374" s="39">
        <v>24</v>
      </c>
      <c r="B374" s="39">
        <v>2</v>
      </c>
      <c r="C374" s="39">
        <v>3</v>
      </c>
      <c r="D374" s="39">
        <v>8</v>
      </c>
      <c r="E374" s="41">
        <v>1.9</v>
      </c>
      <c r="F374" s="41">
        <v>2.2000000000000002</v>
      </c>
      <c r="G374" s="39">
        <v>10.199999999999999</v>
      </c>
      <c r="H374" s="39">
        <v>34</v>
      </c>
      <c r="I374" s="39">
        <v>9</v>
      </c>
      <c r="J374" s="39">
        <v>33.6</v>
      </c>
      <c r="K374" s="39">
        <v>46.5</v>
      </c>
      <c r="L374" s="39">
        <v>80</v>
      </c>
      <c r="M374" s="39">
        <v>881</v>
      </c>
    </row>
    <row r="375" spans="1:13" x14ac:dyDescent="0.4">
      <c r="A375" s="39">
        <v>24</v>
      </c>
      <c r="B375" s="39">
        <v>2</v>
      </c>
      <c r="C375" s="39">
        <v>4</v>
      </c>
      <c r="D375" s="39">
        <v>9</v>
      </c>
      <c r="E375" s="41">
        <v>1.6</v>
      </c>
      <c r="F375" s="41">
        <v>2.8</v>
      </c>
      <c r="G375" s="39">
        <v>10.8</v>
      </c>
      <c r="H375" s="39">
        <v>34</v>
      </c>
      <c r="I375" s="39">
        <v>9.8000000000000007</v>
      </c>
      <c r="J375" s="39">
        <v>35</v>
      </c>
      <c r="K375" s="39">
        <v>50</v>
      </c>
      <c r="L375" s="39">
        <v>80</v>
      </c>
      <c r="M375" s="39">
        <v>881</v>
      </c>
    </row>
    <row r="376" spans="1:13" x14ac:dyDescent="0.4">
      <c r="A376" s="39">
        <v>24</v>
      </c>
      <c r="B376" s="39">
        <v>2</v>
      </c>
      <c r="C376" s="39">
        <v>5</v>
      </c>
      <c r="D376" s="39">
        <v>10</v>
      </c>
      <c r="E376" s="41">
        <v>1.9</v>
      </c>
      <c r="F376" s="41">
        <v>2.5</v>
      </c>
      <c r="G376" s="39">
        <v>11.7</v>
      </c>
      <c r="H376" s="39">
        <v>34</v>
      </c>
      <c r="I376" s="39">
        <v>8</v>
      </c>
      <c r="J376" s="39">
        <v>34.5</v>
      </c>
      <c r="K376" s="39">
        <v>48.7</v>
      </c>
      <c r="L376" s="39">
        <v>80</v>
      </c>
      <c r="M376" s="39">
        <v>881</v>
      </c>
    </row>
    <row r="377" spans="1:13" x14ac:dyDescent="0.4">
      <c r="A377" s="40"/>
      <c r="B377" s="40"/>
      <c r="C377" s="40"/>
      <c r="D377" s="40"/>
      <c r="E377" s="41"/>
      <c r="F377" s="41"/>
      <c r="G377"/>
      <c r="H377"/>
      <c r="I377"/>
      <c r="J377"/>
      <c r="K377"/>
      <c r="L377"/>
      <c r="M3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D6FA-B246-40E9-8026-E2D226255CF6}">
  <dimension ref="A1:N202"/>
  <sheetViews>
    <sheetView workbookViewId="0">
      <selection activeCell="E2" sqref="E2:E11"/>
    </sheetView>
  </sheetViews>
  <sheetFormatPr defaultRowHeight="16" x14ac:dyDescent="0.4"/>
  <sheetData>
    <row r="1" spans="1:14" s="4" customFormat="1" ht="33" customHeight="1" x14ac:dyDescent="0.4">
      <c r="A1" s="7" t="s">
        <v>3</v>
      </c>
      <c r="B1" s="8" t="s">
        <v>1</v>
      </c>
      <c r="C1" s="8" t="s">
        <v>0</v>
      </c>
      <c r="D1" s="8" t="s">
        <v>2</v>
      </c>
      <c r="E1" s="7" t="s">
        <v>4</v>
      </c>
      <c r="F1" s="7" t="s">
        <v>5</v>
      </c>
      <c r="G1" s="7" t="s">
        <v>6</v>
      </c>
      <c r="H1" s="7"/>
      <c r="I1" s="7" t="s">
        <v>8</v>
      </c>
      <c r="J1" s="7" t="s">
        <v>9</v>
      </c>
      <c r="K1" s="7" t="s">
        <v>10</v>
      </c>
      <c r="L1" s="7"/>
      <c r="M1" s="7" t="s">
        <v>12</v>
      </c>
      <c r="N1" s="3"/>
    </row>
    <row r="2" spans="1:14" x14ac:dyDescent="0.4">
      <c r="A2">
        <f>Sheet1!A2</f>
        <v>1</v>
      </c>
      <c r="B2">
        <f>Sheet1!B2</f>
        <v>1</v>
      </c>
      <c r="E2">
        <f>AVERAGE(Sheet1!E2:E6)</f>
        <v>1.94</v>
      </c>
      <c r="F2">
        <f>AVERAGE(Sheet1!F2:F6)</f>
        <v>3.2</v>
      </c>
      <c r="G2">
        <f>AVERAGE(Sheet1!G2:G6)</f>
        <v>19.8</v>
      </c>
      <c r="I2">
        <f>AVERAGE(Sheet1!I2:I6)</f>
        <v>3.94</v>
      </c>
      <c r="J2">
        <f>AVERAGE(Sheet1!J2:J6)</f>
        <v>32.58</v>
      </c>
      <c r="K2">
        <f>AVERAGE(Sheet1!K2:K6)</f>
        <v>42.44</v>
      </c>
      <c r="M2">
        <f>AVERAGE(Sheet1!M2:M6)</f>
        <v>898</v>
      </c>
    </row>
    <row r="3" spans="1:14" x14ac:dyDescent="0.4">
      <c r="A3">
        <f>Sheet1!A3</f>
        <v>1</v>
      </c>
      <c r="B3">
        <v>2</v>
      </c>
      <c r="E3">
        <f>AVERAGE(Sheet1!E7:E12)</f>
        <v>2.4833333333333334</v>
      </c>
      <c r="F3">
        <f>AVERAGE(Sheet1!F7:F12)</f>
        <v>2.5833333333333335</v>
      </c>
      <c r="G3">
        <f>AVERAGE(Sheet1!G7:G12)</f>
        <v>18.8</v>
      </c>
      <c r="I3">
        <f>AVERAGE(Sheet1!I7:I12)</f>
        <v>6.8166666666666664</v>
      </c>
      <c r="J3">
        <f>AVERAGE(Sheet1!J7:J12)</f>
        <v>29.850000000000005</v>
      </c>
      <c r="K3">
        <f>AVERAGE(Sheet1!K7:K12)</f>
        <v>43.449999999999996</v>
      </c>
      <c r="M3">
        <f>AVERAGE(Sheet1!M7:M12)</f>
        <v>878</v>
      </c>
    </row>
    <row r="4" spans="1:14" x14ac:dyDescent="0.4">
      <c r="A4">
        <f>Sheet1!A4</f>
        <v>1</v>
      </c>
      <c r="B4">
        <v>3</v>
      </c>
      <c r="E4">
        <f>AVERAGE(Sheet1!E13:E18)</f>
        <v>1.8</v>
      </c>
      <c r="F4">
        <f>AVERAGE(Sheet1!F13:F18)</f>
        <v>2.5333333333333332</v>
      </c>
      <c r="G4">
        <f>AVERAGE(Sheet1!G13:G18)</f>
        <v>17.783333333333331</v>
      </c>
      <c r="I4">
        <f>AVERAGE(Sheet1!I13:I18)</f>
        <v>7.95</v>
      </c>
      <c r="J4">
        <f>AVERAGE(Sheet1!J13:J18)</f>
        <v>30.616666666666671</v>
      </c>
      <c r="K4">
        <f>AVERAGE(Sheet1!K13:K18)</f>
        <v>42.416666666666664</v>
      </c>
      <c r="M4">
        <f>AVERAGE(Sheet1!M13:M18)</f>
        <v>898</v>
      </c>
    </row>
    <row r="5" spans="1:14" x14ac:dyDescent="0.4">
      <c r="A5">
        <f>Sheet1!A5</f>
        <v>1</v>
      </c>
      <c r="B5">
        <v>4</v>
      </c>
      <c r="E5">
        <f>AVERAGE(Sheet1!E19:E23)</f>
        <v>1.4</v>
      </c>
      <c r="F5">
        <f>AVERAGE(Sheet1!F19:F23)</f>
        <v>2.2800000000000002</v>
      </c>
      <c r="G5">
        <f>AVERAGE(Sheet1!G19:G23)</f>
        <v>17.72</v>
      </c>
      <c r="I5">
        <f>AVERAGE(Sheet1!I19:I23)</f>
        <v>4.42</v>
      </c>
      <c r="J5">
        <f>AVERAGE(Sheet1!J19:J23)</f>
        <v>29.4</v>
      </c>
      <c r="K5">
        <f>AVERAGE(Sheet1!K19:K23)</f>
        <v>41.94</v>
      </c>
      <c r="M5">
        <f>AVERAGE(Sheet1!M19:M23)</f>
        <v>869</v>
      </c>
    </row>
    <row r="6" spans="1:14" x14ac:dyDescent="0.4">
      <c r="A6">
        <f>Sheet1!A6</f>
        <v>1</v>
      </c>
      <c r="B6">
        <v>5</v>
      </c>
      <c r="E6">
        <f>AVERAGE(Sheet1!E24:E27)</f>
        <v>1.7250000000000001</v>
      </c>
      <c r="F6">
        <f>AVERAGE(Sheet1!F24:F27)</f>
        <v>2.875</v>
      </c>
      <c r="G6">
        <f>AVERAGE(Sheet1!G24:G27)</f>
        <v>17.524999999999999</v>
      </c>
      <c r="I6">
        <f>AVERAGE(Sheet1!I24:I27)</f>
        <v>4.6500000000000004</v>
      </c>
      <c r="J6">
        <f>AVERAGE(Sheet1!J24:J27)</f>
        <v>32</v>
      </c>
      <c r="K6">
        <f>AVERAGE(Sheet1!K24:K27)</f>
        <v>41.7</v>
      </c>
      <c r="M6">
        <f>AVERAGE(Sheet1!M24:M27)</f>
        <v>827</v>
      </c>
    </row>
    <row r="7" spans="1:14" x14ac:dyDescent="0.4">
      <c r="A7">
        <f>Sheet1!A7</f>
        <v>1</v>
      </c>
      <c r="B7">
        <v>6</v>
      </c>
      <c r="E7">
        <f>AVERAGE(Sheet1!E28:E31)</f>
        <v>1.425</v>
      </c>
      <c r="F7">
        <f>AVERAGE(Sheet1!F28:F31)</f>
        <v>2.5749999999999997</v>
      </c>
      <c r="G7">
        <f>AVERAGE(Sheet1!G28:G31)</f>
        <v>18.05</v>
      </c>
      <c r="I7">
        <f>AVERAGE(Sheet1!I28:I31)</f>
        <v>4.25</v>
      </c>
      <c r="J7">
        <f>AVERAGE(Sheet1!J28:J31)</f>
        <v>33.275000000000006</v>
      </c>
      <c r="K7">
        <f>AVERAGE(Sheet1!K28:K31)</f>
        <v>41.225000000000001</v>
      </c>
      <c r="M7">
        <f>AVERAGE(Sheet1!M28:M31)</f>
        <v>827</v>
      </c>
    </row>
    <row r="8" spans="1:14" x14ac:dyDescent="0.4">
      <c r="A8">
        <f>Sheet1!A8</f>
        <v>1</v>
      </c>
      <c r="B8">
        <v>7</v>
      </c>
      <c r="E8">
        <f>AVERAGE(Sheet1!E32:E37)</f>
        <v>2.35</v>
      </c>
      <c r="F8">
        <f>AVERAGE(Sheet1!F32:F37)</f>
        <v>2.2333333333333334</v>
      </c>
      <c r="G8">
        <f>AVERAGE(Sheet1!G32:G37)</f>
        <v>15.75</v>
      </c>
      <c r="I8">
        <f>AVERAGE(Sheet1!I32:I37)</f>
        <v>6.2833333333333323</v>
      </c>
      <c r="J8">
        <f>AVERAGE(Sheet1!J32:J37)</f>
        <v>29.900000000000002</v>
      </c>
      <c r="K8">
        <f>AVERAGE(Sheet1!K32:K37)</f>
        <v>42.716666666666669</v>
      </c>
      <c r="M8">
        <f>AVERAGE(Sheet1!M32:M37)</f>
        <v>827</v>
      </c>
    </row>
    <row r="9" spans="1:14" x14ac:dyDescent="0.4">
      <c r="A9">
        <f>Sheet1!A9</f>
        <v>1</v>
      </c>
      <c r="B9">
        <v>8</v>
      </c>
      <c r="E9">
        <f>AVERAGE(Sheet1!E38:E43)</f>
        <v>1.8166666666666667</v>
      </c>
      <c r="F9">
        <f>AVERAGE(Sheet1!F38:F43)</f>
        <v>2.4166666666666665</v>
      </c>
      <c r="G9">
        <f>AVERAGE(Sheet1!G38:G43)</f>
        <v>15.783333333333331</v>
      </c>
      <c r="I9">
        <f>AVERAGE(Sheet1!I38:I43)</f>
        <v>5.4833333333333334</v>
      </c>
      <c r="J9">
        <f>AVERAGE(Sheet1!J38:J43)</f>
        <v>29.849999999999998</v>
      </c>
      <c r="K9">
        <f>AVERAGE(Sheet1!K38:K43)</f>
        <v>43.016666666666673</v>
      </c>
      <c r="M9">
        <f>AVERAGE(Sheet1!M38:M43)</f>
        <v>827</v>
      </c>
    </row>
    <row r="10" spans="1:14" x14ac:dyDescent="0.4">
      <c r="A10">
        <f>Sheet1!A10</f>
        <v>1</v>
      </c>
      <c r="B10">
        <v>9</v>
      </c>
      <c r="E10">
        <f>AVERAGE(Sheet1!E44:E47)</f>
        <v>1.5</v>
      </c>
      <c r="F10">
        <f>AVERAGE(Sheet1!F44:F47)</f>
        <v>2.2249999999999996</v>
      </c>
      <c r="G10">
        <f>AVERAGE(Sheet1!G44:G47)</f>
        <v>17.125</v>
      </c>
      <c r="I10">
        <f>AVERAGE(Sheet1!I44:I47)</f>
        <v>3.8250000000000002</v>
      </c>
      <c r="J10">
        <f>AVERAGE(Sheet1!J44:J47)</f>
        <v>30.599999999999998</v>
      </c>
      <c r="K10">
        <f>AVERAGE(Sheet1!K44:K47)</f>
        <v>42.099999999999994</v>
      </c>
      <c r="M10">
        <f>AVERAGE(Sheet1!M44:M47)</f>
        <v>803</v>
      </c>
    </row>
    <row r="11" spans="1:14" x14ac:dyDescent="0.4">
      <c r="A11">
        <f>Sheet1!A11</f>
        <v>1</v>
      </c>
      <c r="B11">
        <v>10</v>
      </c>
      <c r="E11">
        <f>AVERAGE(Sheet1!E48:E53)</f>
        <v>2.5</v>
      </c>
      <c r="F11">
        <f>AVERAGE(Sheet1!F48:F53)</f>
        <v>2.1333333333333333</v>
      </c>
      <c r="G11">
        <f>AVERAGE(Sheet1!G48:G53)</f>
        <v>18.899999999999999</v>
      </c>
      <c r="I11">
        <f>AVERAGE(Sheet1!I48:I53)</f>
        <v>7.2666666666666666</v>
      </c>
      <c r="J11">
        <f>AVERAGE(Sheet1!J48:J53)</f>
        <v>31.383333333333329</v>
      </c>
      <c r="K11">
        <f>AVERAGE(Sheet1!K48:K53)</f>
        <v>43.333333333333336</v>
      </c>
      <c r="M11">
        <f>AVERAGE(Sheet1!M48:M53)</f>
        <v>783</v>
      </c>
    </row>
    <row r="12" spans="1:14" x14ac:dyDescent="0.4">
      <c r="A12">
        <v>2</v>
      </c>
      <c r="B12">
        <f>Sheet1!B54</f>
        <v>1</v>
      </c>
      <c r="E12">
        <f>Sheet1!E54</f>
        <v>9.4</v>
      </c>
      <c r="F12">
        <f>Sheet1!F54</f>
        <v>4</v>
      </c>
      <c r="G12">
        <f>Sheet1!G54</f>
        <v>21.5</v>
      </c>
      <c r="I12">
        <f>Sheet1!I54</f>
        <v>15</v>
      </c>
      <c r="J12">
        <f>Sheet1!J54</f>
        <v>32</v>
      </c>
      <c r="K12">
        <f>Sheet1!K54</f>
        <v>71.2</v>
      </c>
      <c r="M12">
        <f>Sheet1!M54</f>
        <v>902</v>
      </c>
    </row>
    <row r="13" spans="1:14" x14ac:dyDescent="0.4">
      <c r="A13">
        <v>2</v>
      </c>
      <c r="B13">
        <f>Sheet1!B55</f>
        <v>2</v>
      </c>
      <c r="E13">
        <f>Sheet1!E55</f>
        <v>12</v>
      </c>
      <c r="F13">
        <f>Sheet1!F55</f>
        <v>9</v>
      </c>
      <c r="G13">
        <f>Sheet1!G55</f>
        <v>20.9</v>
      </c>
      <c r="I13">
        <f>Sheet1!I55</f>
        <v>17</v>
      </c>
      <c r="J13">
        <f>Sheet1!J55</f>
        <v>32</v>
      </c>
      <c r="K13">
        <f>Sheet1!K55</f>
        <v>69.400000000000006</v>
      </c>
      <c r="M13">
        <f>Sheet1!M55</f>
        <v>898</v>
      </c>
    </row>
    <row r="14" spans="1:14" x14ac:dyDescent="0.4">
      <c r="A14">
        <v>2</v>
      </c>
      <c r="B14">
        <f>Sheet1!B56</f>
        <v>3</v>
      </c>
      <c r="E14">
        <f>Sheet1!E56</f>
        <v>13.7</v>
      </c>
      <c r="F14">
        <f>Sheet1!F56</f>
        <v>8</v>
      </c>
      <c r="G14">
        <f>Sheet1!G56</f>
        <v>20.5</v>
      </c>
      <c r="I14">
        <f>Sheet1!I56</f>
        <v>15</v>
      </c>
      <c r="J14">
        <f>Sheet1!J56</f>
        <v>32</v>
      </c>
      <c r="K14">
        <f>Sheet1!K56</f>
        <v>75.400000000000006</v>
      </c>
      <c r="M14">
        <f>Sheet1!M56</f>
        <v>910</v>
      </c>
    </row>
    <row r="15" spans="1:14" x14ac:dyDescent="0.4">
      <c r="A15">
        <v>2</v>
      </c>
      <c r="B15">
        <f>Sheet1!B57</f>
        <v>4</v>
      </c>
      <c r="E15">
        <f>Sheet1!E57</f>
        <v>13.5</v>
      </c>
      <c r="F15">
        <f>Sheet1!F57</f>
        <v>6</v>
      </c>
      <c r="G15">
        <f>Sheet1!G57</f>
        <v>19.8</v>
      </c>
      <c r="I15">
        <f>Sheet1!I57</f>
        <v>17</v>
      </c>
      <c r="J15">
        <f>Sheet1!J57</f>
        <v>34</v>
      </c>
      <c r="K15">
        <f>Sheet1!K57</f>
        <v>61.8</v>
      </c>
      <c r="M15">
        <f>Sheet1!M57</f>
        <v>891</v>
      </c>
    </row>
    <row r="16" spans="1:14" x14ac:dyDescent="0.4">
      <c r="A16">
        <v>2</v>
      </c>
      <c r="B16">
        <f>Sheet1!B58</f>
        <v>5</v>
      </c>
      <c r="E16">
        <f>Sheet1!E58</f>
        <v>11.3</v>
      </c>
      <c r="F16">
        <f>Sheet1!F58</f>
        <v>8</v>
      </c>
      <c r="G16">
        <f>Sheet1!G58</f>
        <v>21.6</v>
      </c>
      <c r="I16">
        <f>Sheet1!I58</f>
        <v>17</v>
      </c>
      <c r="J16">
        <f>Sheet1!J58</f>
        <v>34</v>
      </c>
      <c r="K16">
        <f>Sheet1!K58</f>
        <v>69.599999999999994</v>
      </c>
      <c r="M16">
        <f>Sheet1!M58</f>
        <v>754</v>
      </c>
    </row>
    <row r="17" spans="1:13" x14ac:dyDescent="0.4">
      <c r="A17">
        <v>2</v>
      </c>
      <c r="B17">
        <f>Sheet1!B59</f>
        <v>6</v>
      </c>
      <c r="E17">
        <f>Sheet1!E59</f>
        <v>15.4</v>
      </c>
      <c r="F17">
        <f>Sheet1!F59</f>
        <v>6</v>
      </c>
      <c r="G17">
        <f>Sheet1!G59</f>
        <v>27.2</v>
      </c>
      <c r="I17">
        <f>Sheet1!I59</f>
        <v>15</v>
      </c>
      <c r="J17">
        <f>Sheet1!J59</f>
        <v>38</v>
      </c>
      <c r="K17">
        <f>Sheet1!K59</f>
        <v>69.900000000000006</v>
      </c>
      <c r="M17">
        <f>Sheet1!M59</f>
        <v>1028</v>
      </c>
    </row>
    <row r="18" spans="1:13" x14ac:dyDescent="0.4">
      <c r="A18">
        <v>2</v>
      </c>
      <c r="B18">
        <f>Sheet1!B60</f>
        <v>7</v>
      </c>
      <c r="E18">
        <f>Sheet1!E60</f>
        <v>7.1</v>
      </c>
      <c r="F18">
        <f>Sheet1!F60</f>
        <v>5</v>
      </c>
      <c r="G18">
        <f>Sheet1!G60</f>
        <v>18.8</v>
      </c>
      <c r="I18">
        <f>Sheet1!I60</f>
        <v>18</v>
      </c>
      <c r="J18">
        <f>Sheet1!J60</f>
        <v>33</v>
      </c>
      <c r="K18">
        <f>Sheet1!K60</f>
        <v>70.400000000000006</v>
      </c>
      <c r="M18">
        <f>Sheet1!M60</f>
        <v>891</v>
      </c>
    </row>
    <row r="19" spans="1:13" x14ac:dyDescent="0.4">
      <c r="A19">
        <v>2</v>
      </c>
      <c r="B19">
        <f>Sheet1!B61</f>
        <v>8</v>
      </c>
      <c r="E19">
        <f>Sheet1!E61</f>
        <v>9.9</v>
      </c>
      <c r="F19">
        <f>Sheet1!F61</f>
        <v>7</v>
      </c>
      <c r="G19">
        <f>Sheet1!G61</f>
        <v>21.1</v>
      </c>
      <c r="I19">
        <f>Sheet1!I61</f>
        <v>23</v>
      </c>
      <c r="J19">
        <f>Sheet1!J61</f>
        <v>35</v>
      </c>
      <c r="K19">
        <f>Sheet1!K61</f>
        <v>71.2</v>
      </c>
      <c r="M19">
        <f>Sheet1!M61</f>
        <v>887</v>
      </c>
    </row>
    <row r="20" spans="1:13" x14ac:dyDescent="0.4">
      <c r="A20">
        <v>2</v>
      </c>
      <c r="B20">
        <f>Sheet1!B62</f>
        <v>9</v>
      </c>
      <c r="E20">
        <f>Sheet1!E62</f>
        <v>12.9</v>
      </c>
      <c r="F20">
        <f>Sheet1!F62</f>
        <v>6</v>
      </c>
      <c r="G20">
        <f>Sheet1!G62</f>
        <v>21.2</v>
      </c>
      <c r="I20">
        <f>Sheet1!I62</f>
        <v>19</v>
      </c>
      <c r="J20">
        <f>Sheet1!J62</f>
        <v>34</v>
      </c>
      <c r="K20">
        <f>Sheet1!K62</f>
        <v>72</v>
      </c>
      <c r="M20">
        <f>Sheet1!M62</f>
        <v>891</v>
      </c>
    </row>
    <row r="21" spans="1:13" x14ac:dyDescent="0.4">
      <c r="A21">
        <v>2</v>
      </c>
      <c r="B21">
        <f>Sheet1!B63</f>
        <v>10</v>
      </c>
      <c r="E21">
        <f>Sheet1!E63</f>
        <v>11</v>
      </c>
      <c r="F21">
        <f>Sheet1!F63</f>
        <v>6</v>
      </c>
      <c r="G21">
        <f>Sheet1!G63</f>
        <v>21.4</v>
      </c>
      <c r="I21">
        <f>Sheet1!I63</f>
        <v>21</v>
      </c>
      <c r="J21">
        <f>Sheet1!J63</f>
        <v>35</v>
      </c>
      <c r="K21">
        <f>Sheet1!K63</f>
        <v>70</v>
      </c>
      <c r="M21">
        <f>Sheet1!M63</f>
        <v>894</v>
      </c>
    </row>
    <row r="22" spans="1:13" x14ac:dyDescent="0.4">
      <c r="A22">
        <v>3</v>
      </c>
      <c r="B22">
        <f>Sheet1!B64</f>
        <v>1</v>
      </c>
      <c r="E22">
        <f>Sheet1!E64</f>
        <v>1.7</v>
      </c>
      <c r="F22">
        <f>Sheet1!F64</f>
        <v>2</v>
      </c>
      <c r="G22">
        <f>Sheet1!G64</f>
        <v>11.6</v>
      </c>
      <c r="I22">
        <f>Sheet1!I64</f>
        <v>7</v>
      </c>
      <c r="J22">
        <f>Sheet1!J64</f>
        <v>32</v>
      </c>
      <c r="K22">
        <f>Sheet1!K64</f>
        <v>37.299999999999997</v>
      </c>
      <c r="M22">
        <f>Sheet1!M64</f>
        <v>1047</v>
      </c>
    </row>
    <row r="23" spans="1:13" x14ac:dyDescent="0.4">
      <c r="A23">
        <v>3</v>
      </c>
      <c r="B23">
        <f>Sheet1!B65</f>
        <v>2</v>
      </c>
      <c r="E23">
        <f>Sheet1!E65</f>
        <v>3.1</v>
      </c>
      <c r="F23">
        <f>Sheet1!F65</f>
        <v>2</v>
      </c>
      <c r="G23">
        <f>Sheet1!G65</f>
        <v>11.8</v>
      </c>
      <c r="I23">
        <f>Sheet1!I65</f>
        <v>6</v>
      </c>
      <c r="J23">
        <f>Sheet1!J65</f>
        <v>33</v>
      </c>
      <c r="K23">
        <f>Sheet1!K65</f>
        <v>36.799999999999997</v>
      </c>
      <c r="M23">
        <f>Sheet1!M65</f>
        <v>1054</v>
      </c>
    </row>
    <row r="24" spans="1:13" x14ac:dyDescent="0.4">
      <c r="A24">
        <v>3</v>
      </c>
      <c r="B24">
        <f>Sheet1!B66</f>
        <v>3</v>
      </c>
      <c r="E24">
        <f>Sheet1!E66</f>
        <v>2.4</v>
      </c>
      <c r="F24">
        <f>Sheet1!F66</f>
        <v>2</v>
      </c>
      <c r="G24">
        <f>Sheet1!G66</f>
        <v>10.9</v>
      </c>
      <c r="I24">
        <f>Sheet1!I66</f>
        <v>6</v>
      </c>
      <c r="J24">
        <f>Sheet1!J66</f>
        <v>32</v>
      </c>
      <c r="K24">
        <f>Sheet1!K66</f>
        <v>36.799999999999997</v>
      </c>
      <c r="M24">
        <f>Sheet1!M66</f>
        <v>521</v>
      </c>
    </row>
    <row r="25" spans="1:13" x14ac:dyDescent="0.4">
      <c r="A25">
        <v>3</v>
      </c>
      <c r="B25">
        <f>Sheet1!B67</f>
        <v>4</v>
      </c>
      <c r="E25">
        <f>Sheet1!E67</f>
        <v>2.5</v>
      </c>
      <c r="F25">
        <f>Sheet1!F67</f>
        <v>2</v>
      </c>
      <c r="G25">
        <f>Sheet1!G67</f>
        <v>11.6</v>
      </c>
      <c r="I25">
        <f>Sheet1!I67</f>
        <v>5</v>
      </c>
      <c r="J25">
        <f>Sheet1!J67</f>
        <v>30</v>
      </c>
      <c r="K25">
        <f>Sheet1!K67</f>
        <v>38.5</v>
      </c>
      <c r="M25">
        <f>Sheet1!M67</f>
        <v>1579</v>
      </c>
    </row>
    <row r="26" spans="1:13" x14ac:dyDescent="0.4">
      <c r="A26">
        <v>3</v>
      </c>
      <c r="B26">
        <f>Sheet1!B68</f>
        <v>5</v>
      </c>
      <c r="E26">
        <f>Sheet1!E68</f>
        <v>3.6</v>
      </c>
      <c r="F26">
        <f>Sheet1!F68</f>
        <v>2</v>
      </c>
      <c r="G26">
        <f>Sheet1!G68</f>
        <v>11.3</v>
      </c>
      <c r="I26">
        <f>Sheet1!I68</f>
        <v>6</v>
      </c>
      <c r="J26">
        <f>Sheet1!J68</f>
        <v>29</v>
      </c>
      <c r="K26">
        <f>Sheet1!K68</f>
        <v>40.1</v>
      </c>
      <c r="M26">
        <f>Sheet1!M68</f>
        <v>1047</v>
      </c>
    </row>
    <row r="27" spans="1:13" x14ac:dyDescent="0.4">
      <c r="A27">
        <v>3</v>
      </c>
      <c r="B27">
        <f>Sheet1!B69</f>
        <v>6</v>
      </c>
      <c r="E27">
        <f>Sheet1!E69</f>
        <v>3.5</v>
      </c>
      <c r="F27">
        <f>Sheet1!F69</f>
        <v>2</v>
      </c>
      <c r="G27">
        <f>Sheet1!G69</f>
        <v>11.7</v>
      </c>
      <c r="I27">
        <f>Sheet1!I69</f>
        <v>7</v>
      </c>
      <c r="J27">
        <f>Sheet1!J69</f>
        <v>31</v>
      </c>
      <c r="K27">
        <f>Sheet1!K69</f>
        <v>41.6</v>
      </c>
      <c r="M27">
        <f>Sheet1!M69</f>
        <v>1039</v>
      </c>
    </row>
    <row r="28" spans="1:13" x14ac:dyDescent="0.4">
      <c r="A28">
        <v>3</v>
      </c>
      <c r="B28">
        <f>Sheet1!B70</f>
        <v>7</v>
      </c>
      <c r="E28">
        <f>Sheet1!E70</f>
        <v>2.9</v>
      </c>
      <c r="F28">
        <f>Sheet1!F70</f>
        <v>3</v>
      </c>
      <c r="G28">
        <f>Sheet1!G70</f>
        <v>9.5</v>
      </c>
      <c r="I28">
        <f>Sheet1!I70</f>
        <v>7</v>
      </c>
      <c r="J28">
        <f>Sheet1!J70</f>
        <v>31</v>
      </c>
      <c r="K28">
        <f>Sheet1!K70</f>
        <v>42.1</v>
      </c>
      <c r="M28">
        <f>Sheet1!M70</f>
        <v>1047</v>
      </c>
    </row>
    <row r="29" spans="1:13" x14ac:dyDescent="0.4">
      <c r="A29">
        <v>3</v>
      </c>
      <c r="B29">
        <f>Sheet1!B71</f>
        <v>8</v>
      </c>
      <c r="E29">
        <f>Sheet1!E71</f>
        <v>3.3</v>
      </c>
      <c r="F29">
        <f>Sheet1!F71</f>
        <v>3</v>
      </c>
      <c r="G29">
        <f>Sheet1!G71</f>
        <v>9.1</v>
      </c>
      <c r="I29">
        <f>Sheet1!I71</f>
        <v>6</v>
      </c>
      <c r="J29">
        <f>Sheet1!J71</f>
        <v>28</v>
      </c>
      <c r="K29">
        <f>Sheet1!K71</f>
        <v>41.7</v>
      </c>
      <c r="M29">
        <f>Sheet1!M71</f>
        <v>548</v>
      </c>
    </row>
    <row r="30" spans="1:13" x14ac:dyDescent="0.4">
      <c r="A30">
        <v>3</v>
      </c>
      <c r="B30">
        <f>Sheet1!B72</f>
        <v>9</v>
      </c>
      <c r="E30">
        <f>Sheet1!E72</f>
        <v>2</v>
      </c>
      <c r="F30">
        <f>Sheet1!F72</f>
        <v>2</v>
      </c>
      <c r="G30">
        <f>Sheet1!G72</f>
        <v>11.7</v>
      </c>
      <c r="I30">
        <f>Sheet1!I72</f>
        <v>5</v>
      </c>
      <c r="J30">
        <f>Sheet1!J72</f>
        <v>27</v>
      </c>
      <c r="K30">
        <f>Sheet1!K72</f>
        <v>38</v>
      </c>
      <c r="M30">
        <f>Sheet1!M72</f>
        <v>1549</v>
      </c>
    </row>
    <row r="31" spans="1:13" x14ac:dyDescent="0.4">
      <c r="A31">
        <v>3</v>
      </c>
      <c r="B31">
        <f>Sheet1!B73</f>
        <v>10</v>
      </c>
      <c r="E31">
        <f>Sheet1!E73</f>
        <v>2.8</v>
      </c>
      <c r="F31">
        <f>Sheet1!F73</f>
        <v>3</v>
      </c>
      <c r="G31">
        <f>Sheet1!G73</f>
        <v>11.5</v>
      </c>
      <c r="I31">
        <f>Sheet1!I73</f>
        <v>5</v>
      </c>
      <c r="J31">
        <f>Sheet1!J73</f>
        <v>30</v>
      </c>
      <c r="K31">
        <f>Sheet1!K73</f>
        <v>40.799999999999997</v>
      </c>
      <c r="M31">
        <f>Sheet1!M73</f>
        <v>1054</v>
      </c>
    </row>
    <row r="32" spans="1:13" x14ac:dyDescent="0.4">
      <c r="A32">
        <v>4</v>
      </c>
      <c r="B32">
        <f>Sheet1!B74</f>
        <v>1</v>
      </c>
      <c r="E32">
        <f>Sheet1!E74</f>
        <v>2.46</v>
      </c>
      <c r="F32">
        <f>Sheet1!F74</f>
        <v>3.1</v>
      </c>
      <c r="G32">
        <f>Sheet1!G74</f>
        <v>22.5</v>
      </c>
      <c r="I32">
        <f>Sheet1!I74</f>
        <v>4.2</v>
      </c>
      <c r="J32">
        <f>Sheet1!J74</f>
        <v>35.200000000000003</v>
      </c>
      <c r="K32">
        <f>Sheet1!K74</f>
        <v>20.83</v>
      </c>
      <c r="M32">
        <f>Sheet1!M74</f>
        <v>689</v>
      </c>
    </row>
    <row r="33" spans="1:13" x14ac:dyDescent="0.4">
      <c r="A33">
        <v>4</v>
      </c>
      <c r="B33">
        <f>Sheet1!B75</f>
        <v>2</v>
      </c>
      <c r="E33">
        <f>AVERAGE(Sheet1!E75:E78)</f>
        <v>1.75</v>
      </c>
      <c r="F33">
        <f>AVERAGE(Sheet1!F75:F78)</f>
        <v>2.4000000000000004</v>
      </c>
      <c r="G33">
        <f>AVERAGE(Sheet1!G75:G78)</f>
        <v>21.025000000000002</v>
      </c>
      <c r="I33" t="e">
        <f>AVERAGE(Sheet1!I75:I78)</f>
        <v>#DIV/0!</v>
      </c>
      <c r="J33">
        <f>AVERAGE(Sheet1!J75:J78)</f>
        <v>33.174999999999997</v>
      </c>
      <c r="K33">
        <f>AVERAGE(Sheet1!K75:K78)</f>
        <v>16.274999999999999</v>
      </c>
      <c r="M33">
        <f>AVERAGE(Sheet1!M75:M78)</f>
        <v>820</v>
      </c>
    </row>
    <row r="34" spans="1:13" x14ac:dyDescent="0.4">
      <c r="A34">
        <v>4</v>
      </c>
      <c r="B34">
        <f>Sheet1!B79</f>
        <v>3</v>
      </c>
      <c r="E34">
        <f>Sheet1!E79</f>
        <v>3.25</v>
      </c>
      <c r="F34">
        <f>Sheet1!F79</f>
        <v>3.4</v>
      </c>
      <c r="G34">
        <f>Sheet1!G79</f>
        <v>23.1</v>
      </c>
      <c r="I34">
        <f>Sheet1!I79</f>
        <v>4.2</v>
      </c>
      <c r="J34">
        <f>Sheet1!J79</f>
        <v>35.299999999999997</v>
      </c>
      <c r="K34">
        <f>Sheet1!K79</f>
        <v>24.5</v>
      </c>
      <c r="M34">
        <f>Sheet1!M79</f>
        <v>712</v>
      </c>
    </row>
    <row r="35" spans="1:13" x14ac:dyDescent="0.4">
      <c r="A35">
        <v>4</v>
      </c>
      <c r="B35">
        <f>Sheet1!B80</f>
        <v>4</v>
      </c>
      <c r="E35">
        <f>Sheet1!E80</f>
        <v>3.29</v>
      </c>
      <c r="F35">
        <f>Sheet1!F80</f>
        <v>2.6</v>
      </c>
      <c r="G35">
        <f>Sheet1!G80</f>
        <v>23.23</v>
      </c>
      <c r="I35">
        <f>Sheet1!I80</f>
        <v>4</v>
      </c>
      <c r="J35">
        <f>Sheet1!J80</f>
        <v>36.6</v>
      </c>
      <c r="K35">
        <f>Sheet1!K80</f>
        <v>24.1</v>
      </c>
      <c r="M35">
        <f>Sheet1!M80</f>
        <v>775</v>
      </c>
    </row>
    <row r="36" spans="1:13" x14ac:dyDescent="0.4">
      <c r="A36">
        <v>4</v>
      </c>
      <c r="B36">
        <f>Sheet1!B81</f>
        <v>5</v>
      </c>
      <c r="E36">
        <f>Sheet1!E81</f>
        <v>2.6</v>
      </c>
      <c r="F36">
        <f>Sheet1!F81</f>
        <v>3.5</v>
      </c>
      <c r="G36">
        <f>Sheet1!G81</f>
        <v>24</v>
      </c>
      <c r="I36">
        <f>Sheet1!I81</f>
        <v>3.9</v>
      </c>
      <c r="J36">
        <f>Sheet1!J81</f>
        <v>35.5</v>
      </c>
      <c r="K36">
        <f>Sheet1!K81</f>
        <v>20.7</v>
      </c>
      <c r="M36">
        <f>Sheet1!M81</f>
        <v>721</v>
      </c>
    </row>
    <row r="37" spans="1:13" x14ac:dyDescent="0.4">
      <c r="A37">
        <v>4</v>
      </c>
      <c r="B37">
        <f>Sheet1!B82</f>
        <v>6</v>
      </c>
      <c r="E37">
        <f>Sheet1!E82</f>
        <v>3.32</v>
      </c>
      <c r="F37">
        <f>Sheet1!F82</f>
        <v>3.2</v>
      </c>
      <c r="G37">
        <f>Sheet1!G82</f>
        <v>23.7</v>
      </c>
      <c r="I37">
        <f>Sheet1!I82</f>
        <v>3.3</v>
      </c>
      <c r="J37">
        <f>Sheet1!J82</f>
        <v>34.200000000000003</v>
      </c>
      <c r="K37">
        <f>Sheet1!K82</f>
        <v>23.2</v>
      </c>
      <c r="M37">
        <f>Sheet1!M82</f>
        <v>939</v>
      </c>
    </row>
    <row r="38" spans="1:13" x14ac:dyDescent="0.4">
      <c r="A38">
        <v>4</v>
      </c>
      <c r="B38">
        <f>Sheet1!B83</f>
        <v>7</v>
      </c>
      <c r="E38">
        <f>Sheet1!E83</f>
        <v>3.58</v>
      </c>
      <c r="F38">
        <f>Sheet1!F83</f>
        <v>3.9</v>
      </c>
      <c r="G38">
        <f>Sheet1!G83</f>
        <v>23.5</v>
      </c>
      <c r="I38">
        <f>Sheet1!I83</f>
        <v>3.8</v>
      </c>
      <c r="J38">
        <f>Sheet1!J83</f>
        <v>34.6</v>
      </c>
      <c r="K38">
        <f>Sheet1!K83</f>
        <v>25.9</v>
      </c>
      <c r="M38">
        <f>Sheet1!M83</f>
        <v>915</v>
      </c>
    </row>
    <row r="39" spans="1:13" x14ac:dyDescent="0.4">
      <c r="A39">
        <v>4</v>
      </c>
      <c r="B39">
        <f>Sheet1!B84</f>
        <v>8</v>
      </c>
      <c r="E39">
        <f>Sheet1!E84</f>
        <v>3.74</v>
      </c>
      <c r="F39">
        <f>Sheet1!F84</f>
        <v>2.6</v>
      </c>
      <c r="G39">
        <f>Sheet1!G84</f>
        <v>23.4</v>
      </c>
      <c r="I39">
        <f>Sheet1!I84</f>
        <v>3.4</v>
      </c>
      <c r="J39">
        <f>Sheet1!J84</f>
        <v>35</v>
      </c>
      <c r="K39">
        <f>Sheet1!K84</f>
        <v>23.2</v>
      </c>
      <c r="M39">
        <f>Sheet1!M84</f>
        <v>948</v>
      </c>
    </row>
    <row r="40" spans="1:13" x14ac:dyDescent="0.4">
      <c r="A40">
        <v>4</v>
      </c>
      <c r="B40">
        <f>Sheet1!B85</f>
        <v>9</v>
      </c>
      <c r="E40">
        <f>Sheet1!E85</f>
        <v>3.56</v>
      </c>
      <c r="F40">
        <f>Sheet1!F85</f>
        <v>2.5</v>
      </c>
      <c r="G40">
        <f>Sheet1!G85</f>
        <v>23.6</v>
      </c>
      <c r="I40">
        <f>Sheet1!I85</f>
        <v>4.4000000000000004</v>
      </c>
      <c r="J40">
        <f>Sheet1!J85</f>
        <v>33.200000000000003</v>
      </c>
      <c r="K40">
        <f>Sheet1!K85</f>
        <v>21.9</v>
      </c>
      <c r="M40">
        <f>Sheet1!M85</f>
        <v>867</v>
      </c>
    </row>
    <row r="41" spans="1:13" x14ac:dyDescent="0.4">
      <c r="A41">
        <v>4</v>
      </c>
      <c r="B41">
        <f>Sheet1!B86</f>
        <v>10</v>
      </c>
      <c r="E41">
        <f>Sheet1!E86</f>
        <v>3.43</v>
      </c>
      <c r="F41">
        <f>Sheet1!F86</f>
        <v>2.9</v>
      </c>
      <c r="G41">
        <f>Sheet1!G86</f>
        <v>24.3</v>
      </c>
      <c r="I41">
        <f>Sheet1!I86</f>
        <v>4.0999999999999996</v>
      </c>
      <c r="J41">
        <f>Sheet1!J86</f>
        <v>33.6</v>
      </c>
      <c r="K41">
        <f>Sheet1!K86</f>
        <v>20.5</v>
      </c>
      <c r="M41">
        <f>Sheet1!M86</f>
        <v>599</v>
      </c>
    </row>
    <row r="42" spans="1:13" x14ac:dyDescent="0.4">
      <c r="A42">
        <v>5</v>
      </c>
      <c r="B42">
        <f>Sheet1!B87</f>
        <v>1</v>
      </c>
      <c r="E42">
        <f>Sheet1!E87</f>
        <v>1.3</v>
      </c>
      <c r="F42">
        <f>Sheet1!F87</f>
        <v>2</v>
      </c>
      <c r="G42">
        <f>Sheet1!G87</f>
        <v>24</v>
      </c>
      <c r="I42">
        <f>Sheet1!I87</f>
        <v>9.3000000000000007</v>
      </c>
      <c r="J42">
        <f>Sheet1!J87</f>
        <v>38.700000000000003</v>
      </c>
      <c r="K42">
        <f>Sheet1!K87</f>
        <v>29.9</v>
      </c>
      <c r="M42">
        <f>Sheet1!M87</f>
        <v>956</v>
      </c>
    </row>
    <row r="43" spans="1:13" x14ac:dyDescent="0.4">
      <c r="A43">
        <v>5</v>
      </c>
      <c r="B43">
        <f>Sheet1!B88</f>
        <v>2</v>
      </c>
      <c r="E43">
        <f>AVERAGE(Sheet1!E88:E93)</f>
        <v>1.6333333333333335</v>
      </c>
      <c r="F43">
        <f>AVERAGE(Sheet1!F88:F93)</f>
        <v>2.4833333333333334</v>
      </c>
      <c r="G43">
        <f>AVERAGE(Sheet1!G88:G93)</f>
        <v>24.5</v>
      </c>
      <c r="I43" t="e">
        <f>AVERAGE(Sheet1!I88:I93)</f>
        <v>#DIV/0!</v>
      </c>
      <c r="J43">
        <f>AVERAGE(Sheet1!J88:J93)</f>
        <v>35.133333333333333</v>
      </c>
      <c r="K43">
        <f>AVERAGE(Sheet1!K88:K93)</f>
        <v>26.366666666666664</v>
      </c>
      <c r="M43">
        <f>AVERAGE(Sheet1!M88:M93)</f>
        <v>938</v>
      </c>
    </row>
    <row r="44" spans="1:13" x14ac:dyDescent="0.4">
      <c r="A44">
        <v>5</v>
      </c>
      <c r="B44">
        <f>Sheet1!B102</f>
        <v>3</v>
      </c>
      <c r="E44">
        <f>Sheet1!E94</f>
        <v>1.5</v>
      </c>
      <c r="F44">
        <f>Sheet1!F94</f>
        <v>2.6</v>
      </c>
      <c r="G44">
        <f>Sheet1!G94</f>
        <v>22</v>
      </c>
      <c r="I44">
        <f>Sheet1!I94</f>
        <v>9</v>
      </c>
      <c r="J44">
        <f>Sheet1!J94</f>
        <v>31.1</v>
      </c>
      <c r="K44">
        <f>Sheet1!K94</f>
        <v>28.5</v>
      </c>
      <c r="M44">
        <f>Sheet1!M94</f>
        <v>952</v>
      </c>
    </row>
    <row r="45" spans="1:13" x14ac:dyDescent="0.4">
      <c r="A45">
        <v>5</v>
      </c>
      <c r="B45">
        <f>Sheet1!B103</f>
        <v>4</v>
      </c>
      <c r="E45">
        <f>Sheet1!E95</f>
        <v>1.2</v>
      </c>
      <c r="F45">
        <f>Sheet1!F95</f>
        <v>2.5</v>
      </c>
      <c r="G45">
        <f>Sheet1!G95</f>
        <v>23.4</v>
      </c>
      <c r="I45">
        <f>Sheet1!I95</f>
        <v>7.4</v>
      </c>
      <c r="J45">
        <f>Sheet1!J95</f>
        <v>29.7</v>
      </c>
      <c r="K45">
        <f>Sheet1!K95</f>
        <v>29.5</v>
      </c>
      <c r="M45">
        <f>Sheet1!M95</f>
        <v>938</v>
      </c>
    </row>
    <row r="46" spans="1:13" x14ac:dyDescent="0.4">
      <c r="A46">
        <v>6</v>
      </c>
      <c r="B46">
        <f>Sheet1!B104</f>
        <v>5</v>
      </c>
      <c r="E46">
        <f>AVERAGE(Sheet1!E96)</f>
        <v>6.9</v>
      </c>
      <c r="F46">
        <f>AVERAGE(Sheet1!F96)</f>
        <v>3.93</v>
      </c>
      <c r="G46">
        <f>AVERAGE(Sheet1!G96)</f>
        <v>27.8</v>
      </c>
      <c r="I46">
        <f>AVERAGE(Sheet1!I96)</f>
        <v>6.1</v>
      </c>
      <c r="J46">
        <f>AVERAGE(Sheet1!J96)</f>
        <v>37.6</v>
      </c>
      <c r="K46">
        <f>AVERAGE(Sheet1!K96)</f>
        <v>25.7</v>
      </c>
      <c r="M46">
        <f>AVERAGE(Sheet1!M96)</f>
        <v>457</v>
      </c>
    </row>
    <row r="47" spans="1:13" x14ac:dyDescent="0.4">
      <c r="A47">
        <v>6</v>
      </c>
      <c r="B47">
        <f>Sheet1!B105</f>
        <v>6</v>
      </c>
      <c r="E47">
        <f>AVERAGE(Sheet1!E97:E101)</f>
        <v>4.3199999999999994</v>
      </c>
      <c r="F47">
        <f>AVERAGE(Sheet1!F97:F101)</f>
        <v>3.3400000000000007</v>
      </c>
      <c r="G47">
        <f>AVERAGE(Sheet1!G97:G101)</f>
        <v>24.4</v>
      </c>
      <c r="I47" t="e">
        <f>AVERAGE(Sheet1!I97:I101)</f>
        <v>#DIV/0!</v>
      </c>
      <c r="J47">
        <f>AVERAGE(Sheet1!J97:J101)</f>
        <v>36.64</v>
      </c>
      <c r="K47">
        <f>AVERAGE(Sheet1!K97:K101)</f>
        <v>25.16</v>
      </c>
      <c r="M47">
        <f>AVERAGE(Sheet1!M97:M101)</f>
        <v>505</v>
      </c>
    </row>
    <row r="48" spans="1:13" x14ac:dyDescent="0.4">
      <c r="A48">
        <v>6</v>
      </c>
      <c r="B48">
        <f>Sheet1!B106</f>
        <v>7</v>
      </c>
      <c r="E48">
        <f>Sheet1!E102</f>
        <v>1.6</v>
      </c>
      <c r="F48">
        <f>Sheet1!F102</f>
        <v>2.2000000000000002</v>
      </c>
      <c r="G48">
        <f>Sheet1!G102</f>
        <v>24.6</v>
      </c>
      <c r="I48">
        <f>Sheet1!I102</f>
        <v>5.2</v>
      </c>
      <c r="J48">
        <f>Sheet1!J102</f>
        <v>32</v>
      </c>
      <c r="K48">
        <f>Sheet1!K102</f>
        <v>25.1</v>
      </c>
      <c r="M48">
        <f>Sheet1!M102</f>
        <v>422</v>
      </c>
    </row>
    <row r="49" spans="1:13" x14ac:dyDescent="0.4">
      <c r="A49">
        <v>6</v>
      </c>
      <c r="B49">
        <f>Sheet1!B107</f>
        <v>8</v>
      </c>
      <c r="E49">
        <f>Sheet1!E103</f>
        <v>1.7</v>
      </c>
      <c r="F49">
        <f>Sheet1!F103</f>
        <v>1.9</v>
      </c>
      <c r="G49">
        <f>Sheet1!G103</f>
        <v>23.7</v>
      </c>
      <c r="I49">
        <f>Sheet1!I103</f>
        <v>4</v>
      </c>
      <c r="J49">
        <f>Sheet1!J103</f>
        <v>25</v>
      </c>
      <c r="K49">
        <f>Sheet1!K103</f>
        <v>37.5</v>
      </c>
      <c r="M49">
        <f>Sheet1!M103</f>
        <v>610</v>
      </c>
    </row>
    <row r="50" spans="1:13" x14ac:dyDescent="0.4">
      <c r="A50">
        <v>6</v>
      </c>
      <c r="B50">
        <f>Sheet1!B108</f>
        <v>9</v>
      </c>
      <c r="E50">
        <f>Sheet1!E104</f>
        <v>3.6</v>
      </c>
      <c r="F50">
        <f>Sheet1!F104</f>
        <v>2.6</v>
      </c>
      <c r="G50">
        <f>Sheet1!G104</f>
        <v>24.5</v>
      </c>
      <c r="I50">
        <f>Sheet1!I104</f>
        <v>3.7</v>
      </c>
      <c r="J50">
        <f>Sheet1!J104</f>
        <v>32.1</v>
      </c>
      <c r="K50">
        <f>Sheet1!K104</f>
        <v>28.1</v>
      </c>
      <c r="M50">
        <f>Sheet1!M104</f>
        <v>549</v>
      </c>
    </row>
    <row r="51" spans="1:13" x14ac:dyDescent="0.4">
      <c r="A51">
        <v>6</v>
      </c>
      <c r="B51">
        <f>Sheet1!B109</f>
        <v>10</v>
      </c>
      <c r="E51">
        <f>Sheet1!E105</f>
        <v>5.56</v>
      </c>
      <c r="F51">
        <f>Sheet1!F105</f>
        <v>3.11</v>
      </c>
      <c r="G51">
        <f>Sheet1!G105</f>
        <v>25.4</v>
      </c>
      <c r="I51">
        <f>Sheet1!I105</f>
        <v>4.8</v>
      </c>
      <c r="J51">
        <f>Sheet1!J105</f>
        <v>37</v>
      </c>
      <c r="K51">
        <f>Sheet1!K105</f>
        <v>27.11</v>
      </c>
      <c r="M51">
        <f>Sheet1!M105</f>
        <v>401</v>
      </c>
    </row>
    <row r="52" spans="1:13" x14ac:dyDescent="0.4">
      <c r="A52">
        <v>7</v>
      </c>
      <c r="B52">
        <f>Sheet1!B110</f>
        <v>1</v>
      </c>
      <c r="E52">
        <f>Sheet1!E106</f>
        <v>6.16</v>
      </c>
      <c r="F52">
        <f>Sheet1!F106</f>
        <v>3.56</v>
      </c>
      <c r="G52">
        <f>Sheet1!G106</f>
        <v>26.5</v>
      </c>
      <c r="I52">
        <f>Sheet1!I106</f>
        <v>4.3</v>
      </c>
      <c r="J52">
        <f>Sheet1!J106</f>
        <v>35</v>
      </c>
      <c r="K52">
        <f>Sheet1!K106</f>
        <v>21.6</v>
      </c>
      <c r="M52">
        <f>Sheet1!M106</f>
        <v>401</v>
      </c>
    </row>
    <row r="53" spans="1:13" x14ac:dyDescent="0.4">
      <c r="A53">
        <v>7</v>
      </c>
      <c r="B53">
        <f>Sheet1!B111</f>
        <v>2</v>
      </c>
      <c r="E53">
        <f>AVERAGE(Sheet1!E111:E115)</f>
        <v>1.8199999999999998</v>
      </c>
      <c r="F53">
        <f>AVERAGE(Sheet1!F111:F115)</f>
        <v>2.46</v>
      </c>
      <c r="G53">
        <f>AVERAGE(Sheet1!G111:G115)</f>
        <v>17.619999999999997</v>
      </c>
      <c r="I53" t="e">
        <f>AVERAGE(Sheet1!I111:I115)</f>
        <v>#DIV/0!</v>
      </c>
      <c r="J53">
        <f>AVERAGE(Sheet1!J111:J115)</f>
        <v>31.54</v>
      </c>
      <c r="K53">
        <f>AVERAGE(Sheet1!K111:K115)</f>
        <v>18.580000000000002</v>
      </c>
      <c r="M53">
        <f>AVERAGE(Sheet1!M111:M115)</f>
        <v>558</v>
      </c>
    </row>
    <row r="54" spans="1:13" x14ac:dyDescent="0.4">
      <c r="A54">
        <v>7</v>
      </c>
      <c r="B54">
        <f>Sheet1!B116</f>
        <v>3</v>
      </c>
      <c r="E54">
        <f>Sheet1!E116</f>
        <v>4</v>
      </c>
      <c r="F54">
        <f>Sheet1!F116</f>
        <v>3.5</v>
      </c>
      <c r="G54">
        <f>Sheet1!G116</f>
        <v>20.6</v>
      </c>
      <c r="I54">
        <f>Sheet1!I116</f>
        <v>3.3</v>
      </c>
      <c r="J54">
        <f>Sheet1!J116</f>
        <v>35.5</v>
      </c>
      <c r="K54">
        <f>Sheet1!K116</f>
        <v>24.3</v>
      </c>
      <c r="M54">
        <f>Sheet1!M116</f>
        <v>677</v>
      </c>
    </row>
    <row r="55" spans="1:13" x14ac:dyDescent="0.4">
      <c r="A55">
        <v>7</v>
      </c>
      <c r="B55">
        <f>Sheet1!B117</f>
        <v>4</v>
      </c>
      <c r="E55">
        <f>Sheet1!E117</f>
        <v>3.4</v>
      </c>
      <c r="F55">
        <f>Sheet1!F117</f>
        <v>2.8</v>
      </c>
      <c r="G55">
        <f>Sheet1!G117</f>
        <v>20.2</v>
      </c>
      <c r="I55">
        <f>Sheet1!I117</f>
        <v>2.1</v>
      </c>
      <c r="J55">
        <f>Sheet1!J117</f>
        <v>33.799999999999997</v>
      </c>
      <c r="K55">
        <f>Sheet1!K117</f>
        <v>18.8</v>
      </c>
      <c r="M55">
        <f>Sheet1!M117</f>
        <v>470</v>
      </c>
    </row>
    <row r="56" spans="1:13" x14ac:dyDescent="0.4">
      <c r="A56">
        <v>7</v>
      </c>
      <c r="B56">
        <f>Sheet1!B118</f>
        <v>5</v>
      </c>
      <c r="E56">
        <f>Sheet1!E118</f>
        <v>5.7</v>
      </c>
      <c r="F56">
        <f>Sheet1!F118</f>
        <v>4.5999999999999996</v>
      </c>
      <c r="G56">
        <f>Sheet1!G118</f>
        <v>20.7</v>
      </c>
      <c r="I56">
        <f>Sheet1!I118</f>
        <v>2.7</v>
      </c>
      <c r="J56">
        <f>Sheet1!J118</f>
        <v>33.5</v>
      </c>
      <c r="K56">
        <f>Sheet1!K118</f>
        <v>18.7</v>
      </c>
      <c r="M56">
        <f>Sheet1!M118</f>
        <v>420</v>
      </c>
    </row>
    <row r="57" spans="1:13" x14ac:dyDescent="0.4">
      <c r="A57">
        <v>7</v>
      </c>
      <c r="B57">
        <f>Sheet1!B119</f>
        <v>6</v>
      </c>
      <c r="E57">
        <f>Sheet1!E119</f>
        <v>5.5</v>
      </c>
      <c r="F57">
        <f>Sheet1!F119</f>
        <v>3.5</v>
      </c>
      <c r="G57">
        <f>Sheet1!G119</f>
        <v>21.7</v>
      </c>
      <c r="I57">
        <f>Sheet1!I119</f>
        <v>2</v>
      </c>
      <c r="J57">
        <f>Sheet1!J119</f>
        <v>34.799999999999997</v>
      </c>
      <c r="K57">
        <f>Sheet1!K119</f>
        <v>15</v>
      </c>
      <c r="M57">
        <f>Sheet1!M119</f>
        <v>441</v>
      </c>
    </row>
    <row r="58" spans="1:13" x14ac:dyDescent="0.4">
      <c r="A58">
        <v>7</v>
      </c>
      <c r="B58">
        <f>Sheet1!B120</f>
        <v>7</v>
      </c>
      <c r="E58">
        <f>Sheet1!E120</f>
        <v>5.4</v>
      </c>
      <c r="F58">
        <f>Sheet1!F120</f>
        <v>4.7</v>
      </c>
      <c r="G58">
        <f>Sheet1!G120</f>
        <v>21.3</v>
      </c>
      <c r="I58">
        <f>Sheet1!I120</f>
        <v>3.3</v>
      </c>
      <c r="J58">
        <f>Sheet1!J120</f>
        <v>33.9</v>
      </c>
      <c r="K58">
        <f>Sheet1!K120</f>
        <v>20.5</v>
      </c>
      <c r="M58">
        <f>Sheet1!M120</f>
        <v>677</v>
      </c>
    </row>
    <row r="59" spans="1:13" x14ac:dyDescent="0.4">
      <c r="A59">
        <v>7</v>
      </c>
      <c r="B59">
        <f>Sheet1!B121</f>
        <v>8</v>
      </c>
      <c r="E59">
        <f>Sheet1!E121</f>
        <v>2.5</v>
      </c>
      <c r="F59">
        <f>Sheet1!F121</f>
        <v>3.3</v>
      </c>
      <c r="G59">
        <f>Sheet1!G121</f>
        <v>20.100000000000001</v>
      </c>
      <c r="I59">
        <f>Sheet1!I121</f>
        <v>2.9</v>
      </c>
      <c r="J59">
        <f>Sheet1!J121</f>
        <v>31.9</v>
      </c>
      <c r="K59">
        <f>Sheet1!K121</f>
        <v>19</v>
      </c>
      <c r="M59">
        <f>Sheet1!M121</f>
        <v>582</v>
      </c>
    </row>
    <row r="60" spans="1:13" x14ac:dyDescent="0.4">
      <c r="A60">
        <v>7</v>
      </c>
      <c r="B60">
        <f>Sheet1!B122</f>
        <v>9</v>
      </c>
      <c r="E60">
        <f>Sheet1!E122</f>
        <v>2.7</v>
      </c>
      <c r="F60">
        <f>Sheet1!F122</f>
        <v>3.5</v>
      </c>
      <c r="G60">
        <f>Sheet1!G122</f>
        <v>19.7</v>
      </c>
      <c r="I60">
        <f>Sheet1!I122</f>
        <v>2.6</v>
      </c>
      <c r="J60">
        <f>Sheet1!J122</f>
        <v>35.1</v>
      </c>
      <c r="K60">
        <f>Sheet1!K122</f>
        <v>23.2</v>
      </c>
      <c r="M60">
        <f>Sheet1!M122</f>
        <v>670</v>
      </c>
    </row>
    <row r="61" spans="1:13" x14ac:dyDescent="0.4">
      <c r="A61">
        <v>7</v>
      </c>
      <c r="B61">
        <f>Sheet1!B123</f>
        <v>10</v>
      </c>
      <c r="E61">
        <f>Sheet1!E123</f>
        <v>3.3</v>
      </c>
      <c r="F61">
        <f>Sheet1!F123</f>
        <v>3.3</v>
      </c>
      <c r="G61">
        <f>Sheet1!G123</f>
        <v>18.2</v>
      </c>
      <c r="I61">
        <f>Sheet1!I123</f>
        <v>3.4</v>
      </c>
      <c r="J61">
        <f>Sheet1!J123</f>
        <v>33.299999999999997</v>
      </c>
      <c r="K61">
        <f>Sheet1!K123</f>
        <v>16.5</v>
      </c>
      <c r="M61">
        <f>Sheet1!M123</f>
        <v>461</v>
      </c>
    </row>
    <row r="62" spans="1:13" x14ac:dyDescent="0.4">
      <c r="A62">
        <v>8</v>
      </c>
      <c r="B62">
        <f>Sheet1!B124</f>
        <v>1</v>
      </c>
      <c r="E62">
        <f>Sheet1!E124</f>
        <v>1.9</v>
      </c>
      <c r="F62">
        <f>Sheet1!F124</f>
        <v>2.2000000000000002</v>
      </c>
      <c r="G62">
        <f>Sheet1!G124</f>
        <v>24</v>
      </c>
      <c r="I62">
        <f>Sheet1!I124</f>
        <v>4.3</v>
      </c>
      <c r="J62">
        <f>Sheet1!J124</f>
        <v>27.2</v>
      </c>
      <c r="K62">
        <f>Sheet1!K124</f>
        <v>23.5</v>
      </c>
      <c r="M62">
        <f>Sheet1!M124</f>
        <v>1281</v>
      </c>
    </row>
    <row r="63" spans="1:13" x14ac:dyDescent="0.4">
      <c r="A63">
        <v>8</v>
      </c>
      <c r="B63">
        <f>Sheet1!B125</f>
        <v>2</v>
      </c>
      <c r="E63">
        <f>AVERAGE(Sheet1!E125:E127)</f>
        <v>1.9000000000000001</v>
      </c>
      <c r="F63">
        <f>AVERAGE(Sheet1!F125:F127)</f>
        <v>1.833333333333333</v>
      </c>
      <c r="G63">
        <f>AVERAGE(Sheet1!G125:G127)</f>
        <v>23.3</v>
      </c>
      <c r="I63">
        <f>AVERAGE(Sheet1!I125:I127)</f>
        <v>5</v>
      </c>
      <c r="J63">
        <f>AVERAGE(Sheet1!J125:J127)</f>
        <v>25.066666666666666</v>
      </c>
      <c r="K63">
        <f>AVERAGE(Sheet1!K125:K127)</f>
        <v>22.566666666666663</v>
      </c>
      <c r="M63">
        <f>AVERAGE(Sheet1!M125:M127)</f>
        <v>947</v>
      </c>
    </row>
    <row r="64" spans="1:13" x14ac:dyDescent="0.4">
      <c r="A64">
        <v>8</v>
      </c>
      <c r="B64">
        <f>Sheet1!B128</f>
        <v>3</v>
      </c>
      <c r="E64">
        <f>Sheet1!E128</f>
        <v>0.2</v>
      </c>
      <c r="F64">
        <f>Sheet1!F128</f>
        <v>1.9</v>
      </c>
      <c r="G64">
        <f>Sheet1!G128</f>
        <v>20.100000000000001</v>
      </c>
      <c r="I64">
        <f>Sheet1!I128</f>
        <v>6</v>
      </c>
      <c r="J64">
        <f>Sheet1!J128</f>
        <v>26.4</v>
      </c>
      <c r="K64">
        <f>Sheet1!K128</f>
        <v>20</v>
      </c>
      <c r="M64">
        <f>Sheet1!M128</f>
        <v>1050</v>
      </c>
    </row>
    <row r="65" spans="1:13" x14ac:dyDescent="0.4">
      <c r="A65">
        <v>8</v>
      </c>
      <c r="B65">
        <f>Sheet1!B129</f>
        <v>4</v>
      </c>
      <c r="E65">
        <f>Sheet1!E129</f>
        <v>4.5999999999999996</v>
      </c>
      <c r="F65">
        <f>Sheet1!F129</f>
        <v>2.2000000000000002</v>
      </c>
      <c r="G65">
        <f>Sheet1!G129</f>
        <v>21.1</v>
      </c>
      <c r="I65">
        <f>Sheet1!I129</f>
        <v>5.2</v>
      </c>
      <c r="J65">
        <f>Sheet1!J129</f>
        <v>26.8</v>
      </c>
      <c r="K65">
        <f>Sheet1!K129</f>
        <v>20.399999999999999</v>
      </c>
      <c r="M65">
        <f>Sheet1!M129</f>
        <v>1123</v>
      </c>
    </row>
    <row r="66" spans="1:13" x14ac:dyDescent="0.4">
      <c r="A66">
        <v>8</v>
      </c>
      <c r="B66">
        <f>Sheet1!B130</f>
        <v>5</v>
      </c>
      <c r="E66">
        <f>Sheet1!E130</f>
        <v>3.2</v>
      </c>
      <c r="F66">
        <f>Sheet1!F130</f>
        <v>1.8</v>
      </c>
      <c r="G66">
        <f>Sheet1!G130</f>
        <v>24.5</v>
      </c>
      <c r="I66">
        <f>Sheet1!I130</f>
        <v>7.8</v>
      </c>
      <c r="J66">
        <f>Sheet1!J130</f>
        <v>28.6</v>
      </c>
      <c r="K66">
        <f>Sheet1!K130</f>
        <v>25.8</v>
      </c>
      <c r="M66">
        <f>Sheet1!M130</f>
        <v>699</v>
      </c>
    </row>
    <row r="67" spans="1:13" x14ac:dyDescent="0.4">
      <c r="A67">
        <v>8</v>
      </c>
      <c r="B67">
        <f>Sheet1!B131</f>
        <v>6</v>
      </c>
      <c r="E67">
        <f>Sheet1!E131</f>
        <v>4.5999999999999996</v>
      </c>
      <c r="F67">
        <f>Sheet1!F131</f>
        <v>1.6</v>
      </c>
      <c r="G67">
        <f>Sheet1!G131</f>
        <v>24.3</v>
      </c>
      <c r="I67">
        <f>Sheet1!I131</f>
        <v>5.5</v>
      </c>
      <c r="J67">
        <f>Sheet1!J131</f>
        <v>25.7</v>
      </c>
      <c r="K67">
        <f>Sheet1!K131</f>
        <v>23.3</v>
      </c>
      <c r="M67">
        <f>Sheet1!M131</f>
        <v>1011</v>
      </c>
    </row>
    <row r="68" spans="1:13" x14ac:dyDescent="0.4">
      <c r="A68">
        <v>8</v>
      </c>
      <c r="B68">
        <f>Sheet1!B132</f>
        <v>7</v>
      </c>
      <c r="E68">
        <f>Sheet1!E132</f>
        <v>0.4</v>
      </c>
      <c r="F68">
        <f>Sheet1!F132</f>
        <v>1.9</v>
      </c>
      <c r="G68">
        <f>Sheet1!G132</f>
        <v>21.1</v>
      </c>
      <c r="I68">
        <f>Sheet1!I132</f>
        <v>6.4</v>
      </c>
      <c r="J68">
        <f>Sheet1!J132</f>
        <v>28.3</v>
      </c>
      <c r="K68">
        <f>Sheet1!K132</f>
        <v>20.9</v>
      </c>
      <c r="M68">
        <f>Sheet1!M132</f>
        <v>989</v>
      </c>
    </row>
    <row r="69" spans="1:13" x14ac:dyDescent="0.4">
      <c r="A69">
        <v>8</v>
      </c>
      <c r="B69">
        <f>Sheet1!B133</f>
        <v>8</v>
      </c>
      <c r="E69">
        <f>Sheet1!E133</f>
        <v>4.3</v>
      </c>
      <c r="F69">
        <f>Sheet1!F133</f>
        <v>1.9</v>
      </c>
      <c r="G69">
        <f>Sheet1!G133</f>
        <v>21.1</v>
      </c>
      <c r="I69">
        <f>Sheet1!I133</f>
        <v>7.9</v>
      </c>
      <c r="J69">
        <f>Sheet1!J133</f>
        <v>24.2</v>
      </c>
      <c r="K69">
        <f>Sheet1!K133</f>
        <v>22.1</v>
      </c>
      <c r="M69">
        <f>Sheet1!M133</f>
        <v>1209</v>
      </c>
    </row>
    <row r="70" spans="1:13" x14ac:dyDescent="0.4">
      <c r="A70">
        <v>8</v>
      </c>
      <c r="B70">
        <f>Sheet1!B134</f>
        <v>9</v>
      </c>
      <c r="E70">
        <f>Sheet1!E134</f>
        <v>1.9</v>
      </c>
      <c r="F70">
        <f>Sheet1!F134</f>
        <v>1.8</v>
      </c>
      <c r="G70">
        <f>Sheet1!G134</f>
        <v>22.4</v>
      </c>
      <c r="I70">
        <f>Sheet1!I134</f>
        <v>5.8</v>
      </c>
      <c r="J70">
        <f>Sheet1!J134</f>
        <v>26.1</v>
      </c>
      <c r="K70">
        <f>Sheet1!K134</f>
        <v>22.2</v>
      </c>
      <c r="M70">
        <f>Sheet1!M134</f>
        <v>989</v>
      </c>
    </row>
    <row r="71" spans="1:13" x14ac:dyDescent="0.4">
      <c r="A71">
        <v>8</v>
      </c>
      <c r="B71">
        <f>Sheet1!B135</f>
        <v>10</v>
      </c>
      <c r="E71">
        <f>Sheet1!E135</f>
        <v>1.2</v>
      </c>
      <c r="F71">
        <f>Sheet1!F135</f>
        <v>2</v>
      </c>
      <c r="G71">
        <f>Sheet1!G135</f>
        <v>20.8</v>
      </c>
      <c r="I71">
        <f>Sheet1!I135</f>
        <v>6.9</v>
      </c>
      <c r="J71">
        <f>Sheet1!J135</f>
        <v>26</v>
      </c>
      <c r="K71">
        <f>Sheet1!K135</f>
        <v>24.4</v>
      </c>
      <c r="M71">
        <f>Sheet1!M135</f>
        <v>835</v>
      </c>
    </row>
    <row r="72" spans="1:13" x14ac:dyDescent="0.4">
      <c r="A72">
        <v>9</v>
      </c>
      <c r="B72">
        <f>Sheet1!B136</f>
        <v>1</v>
      </c>
      <c r="E72">
        <f>Sheet1!E136</f>
        <v>2.87</v>
      </c>
      <c r="F72">
        <f>Sheet1!F136</f>
        <v>3</v>
      </c>
      <c r="G72">
        <f>Sheet1!G136</f>
        <v>30.8</v>
      </c>
      <c r="I72">
        <f>Sheet1!I136</f>
        <v>3.7</v>
      </c>
      <c r="J72">
        <f>Sheet1!J136</f>
        <v>24.8</v>
      </c>
      <c r="K72">
        <f>Sheet1!K136</f>
        <v>22</v>
      </c>
      <c r="M72">
        <f>Sheet1!M136</f>
        <v>482</v>
      </c>
    </row>
    <row r="73" spans="1:13" x14ac:dyDescent="0.4">
      <c r="A73">
        <v>9</v>
      </c>
      <c r="B73">
        <f>Sheet1!B137</f>
        <v>2</v>
      </c>
      <c r="E73">
        <f>AVERAGE(Sheet1!E137:E142)</f>
        <v>1.8500000000000003</v>
      </c>
      <c r="F73">
        <f>AVERAGE(Sheet1!F137:F142)</f>
        <v>2.3000000000000003</v>
      </c>
      <c r="G73">
        <f>AVERAGE(Sheet1!G137:G142)</f>
        <v>27.3</v>
      </c>
      <c r="I73" t="e">
        <f>AVERAGE(Sheet1!I137:I142)</f>
        <v>#DIV/0!</v>
      </c>
      <c r="J73">
        <f>AVERAGE(Sheet1!J137:J142)</f>
        <v>29.75</v>
      </c>
      <c r="K73">
        <f>AVERAGE(Sheet1!K137:K142)</f>
        <v>22.716666666666665</v>
      </c>
      <c r="M73">
        <f>AVERAGE(Sheet1!M137:M142)</f>
        <v>796</v>
      </c>
    </row>
    <row r="74" spans="1:13" x14ac:dyDescent="0.4">
      <c r="A74">
        <v>9</v>
      </c>
      <c r="B74">
        <f>Sheet1!B143</f>
        <v>3</v>
      </c>
      <c r="E74">
        <f>Sheet1!E143</f>
        <v>2.16</v>
      </c>
      <c r="F74">
        <f>Sheet1!F143</f>
        <v>3.1</v>
      </c>
      <c r="G74">
        <f>Sheet1!G143</f>
        <v>25.8</v>
      </c>
      <c r="I74">
        <f>Sheet1!I143</f>
        <v>3.3</v>
      </c>
      <c r="J74">
        <f>Sheet1!J143</f>
        <v>24.2</v>
      </c>
      <c r="K74">
        <f>Sheet1!K143</f>
        <v>17.2</v>
      </c>
      <c r="M74">
        <f>Sheet1!M143</f>
        <v>530</v>
      </c>
    </row>
    <row r="75" spans="1:13" x14ac:dyDescent="0.4">
      <c r="A75">
        <v>10</v>
      </c>
      <c r="B75">
        <v>1</v>
      </c>
      <c r="E75">
        <f>Sheet1!E144</f>
        <v>2.42</v>
      </c>
      <c r="F75">
        <f>Sheet1!F144</f>
        <v>2.8</v>
      </c>
      <c r="G75">
        <f>Sheet1!G144</f>
        <v>34.42</v>
      </c>
      <c r="I75">
        <f>Sheet1!I144</f>
        <v>7</v>
      </c>
      <c r="J75">
        <f>Sheet1!J144</f>
        <v>37.200000000000003</v>
      </c>
      <c r="K75">
        <f>Sheet1!K144</f>
        <v>24.48</v>
      </c>
      <c r="M75">
        <f>Sheet1!M144</f>
        <v>1043</v>
      </c>
    </row>
    <row r="76" spans="1:13" x14ac:dyDescent="0.4">
      <c r="A76">
        <v>10</v>
      </c>
      <c r="B76">
        <v>2</v>
      </c>
      <c r="E76">
        <f>AVERAGE(Sheet1!E145:E151)</f>
        <v>1.5471428571428572</v>
      </c>
      <c r="F76">
        <f>AVERAGE(Sheet1!F145:F151)</f>
        <v>2.9428571428571431</v>
      </c>
      <c r="G76">
        <f>AVERAGE(Sheet1!G145:G151)</f>
        <v>37.814285714285724</v>
      </c>
      <c r="I76" t="e">
        <f>AVERAGE(Sheet1!I145:I151)</f>
        <v>#DIV/0!</v>
      </c>
      <c r="J76">
        <f>AVERAGE(Sheet1!J145:J151)</f>
        <v>32.642857142857146</v>
      </c>
      <c r="K76">
        <f>AVERAGE(Sheet1!K145:K151)</f>
        <v>20.857142857142858</v>
      </c>
      <c r="M76">
        <f>AVERAGE(Sheet1!M145:M151)</f>
        <v>1006</v>
      </c>
    </row>
    <row r="77" spans="1:13" x14ac:dyDescent="0.4">
      <c r="A77">
        <v>10</v>
      </c>
      <c r="B77">
        <f>Sheet1!B152</f>
        <v>3</v>
      </c>
      <c r="E77">
        <f>Sheet1!E152</f>
        <v>2.21</v>
      </c>
      <c r="F77">
        <f>Sheet1!F152</f>
        <v>3.34</v>
      </c>
      <c r="G77">
        <f>Sheet1!G152</f>
        <v>38.200000000000003</v>
      </c>
      <c r="I77">
        <f>Sheet1!I152</f>
        <v>6.3</v>
      </c>
      <c r="J77">
        <f>Sheet1!J152</f>
        <v>29.1</v>
      </c>
      <c r="K77">
        <f>Sheet1!K152</f>
        <v>23.9</v>
      </c>
      <c r="M77">
        <f>Sheet1!M152</f>
        <v>1065</v>
      </c>
    </row>
    <row r="78" spans="1:13" x14ac:dyDescent="0.4">
      <c r="A78">
        <v>10</v>
      </c>
      <c r="B78">
        <f>Sheet1!B153</f>
        <v>4</v>
      </c>
      <c r="E78">
        <f>Sheet1!E153</f>
        <v>2.29</v>
      </c>
      <c r="F78">
        <f>Sheet1!F153</f>
        <v>2.72</v>
      </c>
      <c r="G78">
        <f>Sheet1!G153</f>
        <v>40.9</v>
      </c>
      <c r="I78">
        <f>Sheet1!I153</f>
        <v>6.1</v>
      </c>
      <c r="J78">
        <f>Sheet1!J153</f>
        <v>34.6</v>
      </c>
      <c r="K78">
        <f>Sheet1!K153</f>
        <v>26.49</v>
      </c>
      <c r="M78">
        <f>Sheet1!M153</f>
        <v>1064</v>
      </c>
    </row>
    <row r="79" spans="1:13" x14ac:dyDescent="0.4">
      <c r="A79">
        <v>10</v>
      </c>
      <c r="B79">
        <f>Sheet1!B154</f>
        <v>5</v>
      </c>
      <c r="E79">
        <f>Sheet1!E154</f>
        <v>2.57</v>
      </c>
      <c r="F79">
        <f>Sheet1!F154</f>
        <v>3.23</v>
      </c>
      <c r="G79">
        <f>Sheet1!G154</f>
        <v>35.9</v>
      </c>
      <c r="I79">
        <f>Sheet1!I154</f>
        <v>7</v>
      </c>
      <c r="J79">
        <f>Sheet1!J154</f>
        <v>33.4</v>
      </c>
      <c r="K79">
        <f>Sheet1!K154</f>
        <v>21.31</v>
      </c>
      <c r="M79">
        <f>Sheet1!M154</f>
        <v>747</v>
      </c>
    </row>
    <row r="80" spans="1:13" x14ac:dyDescent="0.4">
      <c r="A80">
        <v>10</v>
      </c>
      <c r="B80">
        <f>Sheet1!B155</f>
        <v>6</v>
      </c>
      <c r="E80">
        <f>Sheet1!E155</f>
        <v>2.39</v>
      </c>
      <c r="F80">
        <f>Sheet1!F155</f>
        <v>3.32</v>
      </c>
      <c r="G80">
        <f>Sheet1!G155</f>
        <v>40.6</v>
      </c>
      <c r="I80">
        <f>Sheet1!I155</f>
        <v>5.8</v>
      </c>
      <c r="J80">
        <f>Sheet1!J155</f>
        <v>32.5</v>
      </c>
      <c r="K80">
        <f>Sheet1!K155</f>
        <v>23.5</v>
      </c>
      <c r="M80">
        <f>Sheet1!M155</f>
        <v>1231</v>
      </c>
    </row>
    <row r="81" spans="1:13" x14ac:dyDescent="0.4">
      <c r="A81">
        <v>10</v>
      </c>
      <c r="B81">
        <f>Sheet1!B156</f>
        <v>7</v>
      </c>
      <c r="E81">
        <f>Sheet1!E156</f>
        <v>2.63</v>
      </c>
      <c r="F81">
        <f>Sheet1!F156</f>
        <v>3.28</v>
      </c>
      <c r="G81">
        <f>Sheet1!G156</f>
        <v>38.700000000000003</v>
      </c>
      <c r="I81">
        <f>Sheet1!I156</f>
        <v>6.8</v>
      </c>
      <c r="J81">
        <f>Sheet1!J156</f>
        <v>32.200000000000003</v>
      </c>
      <c r="K81">
        <f>Sheet1!K156</f>
        <v>22.53</v>
      </c>
      <c r="M81">
        <f>Sheet1!M156</f>
        <v>1222</v>
      </c>
    </row>
    <row r="82" spans="1:13" x14ac:dyDescent="0.4">
      <c r="A82">
        <v>10</v>
      </c>
      <c r="B82">
        <f>Sheet1!B157</f>
        <v>8</v>
      </c>
      <c r="E82">
        <f>Sheet1!E157</f>
        <v>3</v>
      </c>
      <c r="F82">
        <f>Sheet1!F157</f>
        <v>3.3</v>
      </c>
      <c r="G82">
        <f>Sheet1!G157</f>
        <v>39.14</v>
      </c>
      <c r="I82">
        <f>Sheet1!I157</f>
        <v>6.3</v>
      </c>
      <c r="J82">
        <f>Sheet1!J157</f>
        <v>31.5</v>
      </c>
      <c r="K82">
        <f>Sheet1!K157</f>
        <v>23.3</v>
      </c>
      <c r="M82">
        <f>Sheet1!M157</f>
        <v>1042</v>
      </c>
    </row>
    <row r="83" spans="1:13" x14ac:dyDescent="0.4">
      <c r="A83">
        <v>10</v>
      </c>
      <c r="B83">
        <f>Sheet1!B158</f>
        <v>9</v>
      </c>
      <c r="E83">
        <f>Sheet1!E158</f>
        <v>2.23</v>
      </c>
      <c r="F83">
        <f>Sheet1!F158</f>
        <v>3.17</v>
      </c>
      <c r="G83">
        <f>Sheet1!G158</f>
        <v>36.700000000000003</v>
      </c>
      <c r="I83">
        <f>Sheet1!I158</f>
        <v>7</v>
      </c>
      <c r="J83">
        <f>Sheet1!J158</f>
        <v>32.700000000000003</v>
      </c>
      <c r="K83">
        <f>Sheet1!K158</f>
        <v>22.9</v>
      </c>
      <c r="M83">
        <f>Sheet1!M158</f>
        <v>698</v>
      </c>
    </row>
    <row r="84" spans="1:13" x14ac:dyDescent="0.4">
      <c r="A84">
        <v>10</v>
      </c>
      <c r="B84">
        <f>Sheet1!B159</f>
        <v>10</v>
      </c>
      <c r="E84">
        <f>Sheet1!E159</f>
        <v>1.88</v>
      </c>
      <c r="F84">
        <f>Sheet1!F159</f>
        <v>2.5</v>
      </c>
      <c r="G84">
        <f>Sheet1!G159</f>
        <v>40.799999999999997</v>
      </c>
      <c r="I84">
        <f>Sheet1!I159</f>
        <v>6</v>
      </c>
      <c r="J84">
        <f>Sheet1!J159</f>
        <v>33.200000000000003</v>
      </c>
      <c r="K84">
        <f>Sheet1!K159</f>
        <v>23</v>
      </c>
      <c r="M84">
        <f>Sheet1!M159</f>
        <v>1078</v>
      </c>
    </row>
    <row r="85" spans="1:13" x14ac:dyDescent="0.4">
      <c r="A85">
        <v>11</v>
      </c>
      <c r="B85">
        <f>Sheet1!B160</f>
        <v>1</v>
      </c>
      <c r="E85">
        <f>Sheet1!E160</f>
        <v>3.6</v>
      </c>
      <c r="F85">
        <f>Sheet1!F160</f>
        <v>2.7</v>
      </c>
      <c r="G85">
        <f>Sheet1!G160</f>
        <v>25.11</v>
      </c>
      <c r="I85">
        <f>Sheet1!I160</f>
        <v>6</v>
      </c>
      <c r="J85">
        <f>Sheet1!J160</f>
        <v>29.5</v>
      </c>
      <c r="K85">
        <f>Sheet1!K160</f>
        <v>26.17</v>
      </c>
      <c r="M85">
        <f>Sheet1!M160</f>
        <v>1123</v>
      </c>
    </row>
    <row r="86" spans="1:13" x14ac:dyDescent="0.4">
      <c r="A86">
        <v>11</v>
      </c>
      <c r="B86">
        <f>Sheet1!B161</f>
        <v>2</v>
      </c>
      <c r="E86">
        <f>AVERAGE(Sheet1!E161:E166)</f>
        <v>1.9666666666666668</v>
      </c>
      <c r="F86">
        <f>AVERAGE(Sheet1!F161:F166)</f>
        <v>2.6333333333333333</v>
      </c>
      <c r="G86">
        <f>AVERAGE(Sheet1!G161:G166)</f>
        <v>25.333333333333332</v>
      </c>
      <c r="I86" t="e">
        <f>AVERAGE(Sheet1!I161:I166)</f>
        <v>#DIV/0!</v>
      </c>
      <c r="J86">
        <f>AVERAGE(Sheet1!J161:J166)</f>
        <v>33.116666666666667</v>
      </c>
      <c r="K86">
        <f>AVERAGE(Sheet1!K161:K166)</f>
        <v>27.033333333333331</v>
      </c>
      <c r="M86">
        <f>AVERAGE(Sheet1!M161:M166)</f>
        <v>1127</v>
      </c>
    </row>
    <row r="87" spans="1:13" x14ac:dyDescent="0.4">
      <c r="A87">
        <v>12</v>
      </c>
      <c r="B87">
        <f>Sheet1!B167</f>
        <v>1</v>
      </c>
      <c r="E87">
        <f>Sheet1!E167</f>
        <v>0.57999999999999996</v>
      </c>
      <c r="F87">
        <f>Sheet1!F167</f>
        <v>2.6</v>
      </c>
      <c r="G87">
        <f>Sheet1!G167</f>
        <v>25.11</v>
      </c>
      <c r="I87">
        <f>Sheet1!I167</f>
        <v>2.4</v>
      </c>
      <c r="J87">
        <f>Sheet1!J167</f>
        <v>32.200000000000003</v>
      </c>
      <c r="K87">
        <f>Sheet1!K167</f>
        <v>33.130000000000003</v>
      </c>
      <c r="M87">
        <f>Sheet1!M167</f>
        <v>790</v>
      </c>
    </row>
    <row r="88" spans="1:13" x14ac:dyDescent="0.4">
      <c r="A88">
        <v>12</v>
      </c>
      <c r="B88">
        <f>Sheet1!B163</f>
        <v>2</v>
      </c>
      <c r="E88">
        <f>AVERAGE(Sheet1!E168:E173)</f>
        <v>1.7000000000000002</v>
      </c>
      <c r="F88">
        <f>AVERAGE(Sheet1!F168:F173)</f>
        <v>2.2666666666666671</v>
      </c>
      <c r="G88">
        <f>AVERAGE(Sheet1!G168:G173)</f>
        <v>20.616666666666671</v>
      </c>
      <c r="I88" t="e">
        <f>AVERAGE(Sheet1!I168:I173)</f>
        <v>#DIV/0!</v>
      </c>
      <c r="J88">
        <f>AVERAGE(Sheet1!J168:J173)</f>
        <v>37.450000000000003</v>
      </c>
      <c r="K88">
        <f>AVERAGE(Sheet1!K168:K173)</f>
        <v>23.95</v>
      </c>
      <c r="M88">
        <f>AVERAGE(Sheet1!M168:M173)</f>
        <v>571</v>
      </c>
    </row>
    <row r="89" spans="1:13" x14ac:dyDescent="0.4">
      <c r="A89">
        <v>12</v>
      </c>
      <c r="B89">
        <f>Sheet1!B174</f>
        <v>3</v>
      </c>
      <c r="E89">
        <f>Sheet1!E174</f>
        <v>1.3</v>
      </c>
      <c r="F89">
        <f>Sheet1!F174</f>
        <v>2.6</v>
      </c>
      <c r="G89">
        <f>Sheet1!G174</f>
        <v>18.45</v>
      </c>
      <c r="I89">
        <f>Sheet1!I174</f>
        <v>0</v>
      </c>
      <c r="J89">
        <f>Sheet1!J174</f>
        <v>34.4</v>
      </c>
      <c r="K89">
        <f>Sheet1!K174</f>
        <v>29</v>
      </c>
      <c r="M89">
        <f>Sheet1!M174</f>
        <v>982</v>
      </c>
    </row>
    <row r="90" spans="1:13" x14ac:dyDescent="0.4">
      <c r="A90">
        <v>13</v>
      </c>
      <c r="B90">
        <f>Sheet1!B175</f>
        <v>1</v>
      </c>
      <c r="E90">
        <f>Sheet1!E175</f>
        <v>0.63</v>
      </c>
      <c r="F90">
        <f>Sheet1!F175</f>
        <v>2.7</v>
      </c>
      <c r="G90">
        <f>Sheet1!G175</f>
        <v>25.13</v>
      </c>
      <c r="I90">
        <f>Sheet1!I175</f>
        <v>5.8</v>
      </c>
      <c r="J90">
        <f>Sheet1!J175</f>
        <v>31.3</v>
      </c>
      <c r="K90">
        <f>Sheet1!K175</f>
        <v>22.2</v>
      </c>
      <c r="M90">
        <f>Sheet1!M175</f>
        <v>749</v>
      </c>
    </row>
    <row r="91" spans="1:13" x14ac:dyDescent="0.4">
      <c r="A91">
        <v>13</v>
      </c>
      <c r="B91">
        <f>Sheet1!B176</f>
        <v>2</v>
      </c>
      <c r="E91">
        <f>Sheet1!E176</f>
        <v>1.1200000000000001</v>
      </c>
      <c r="F91">
        <f>Sheet1!F176</f>
        <v>3.1</v>
      </c>
      <c r="G91">
        <f>Sheet1!G176</f>
        <v>26.79</v>
      </c>
      <c r="I91">
        <f>Sheet1!I176</f>
        <v>8.6</v>
      </c>
      <c r="J91">
        <f>Sheet1!J176</f>
        <v>31.9</v>
      </c>
      <c r="K91">
        <f>Sheet1!K176</f>
        <v>19.5</v>
      </c>
      <c r="M91">
        <f>Sheet1!M176</f>
        <v>740</v>
      </c>
    </row>
    <row r="92" spans="1:13" x14ac:dyDescent="0.4">
      <c r="A92">
        <v>13</v>
      </c>
      <c r="B92">
        <f>Sheet1!B177</f>
        <v>3</v>
      </c>
      <c r="E92">
        <f>Sheet1!E177</f>
        <v>1.33</v>
      </c>
      <c r="F92">
        <f>Sheet1!F177</f>
        <v>1.5</v>
      </c>
      <c r="G92">
        <f>Sheet1!G177</f>
        <v>27.7</v>
      </c>
      <c r="I92">
        <f>Sheet1!I177</f>
        <v>8.6999999999999993</v>
      </c>
      <c r="J92">
        <f>Sheet1!J177</f>
        <v>28.4</v>
      </c>
      <c r="K92">
        <f>Sheet1!K177</f>
        <v>22.7</v>
      </c>
      <c r="M92">
        <f>Sheet1!M177</f>
        <v>896</v>
      </c>
    </row>
    <row r="93" spans="1:13" x14ac:dyDescent="0.4">
      <c r="A93">
        <v>13</v>
      </c>
      <c r="B93">
        <f>Sheet1!B178</f>
        <v>4</v>
      </c>
      <c r="E93">
        <f>Sheet1!E178</f>
        <v>3.8</v>
      </c>
      <c r="F93">
        <f>Sheet1!F178</f>
        <v>1.75</v>
      </c>
      <c r="G93">
        <f>Sheet1!G178</f>
        <v>25.47</v>
      </c>
      <c r="I93">
        <f>Sheet1!I178</f>
        <v>7.6</v>
      </c>
      <c r="J93">
        <f>Sheet1!J178</f>
        <v>30.9</v>
      </c>
      <c r="K93">
        <f>Sheet1!K178</f>
        <v>25.1</v>
      </c>
      <c r="M93">
        <f>Sheet1!M178</f>
        <v>896</v>
      </c>
    </row>
    <row r="94" spans="1:13" x14ac:dyDescent="0.4">
      <c r="A94">
        <v>13</v>
      </c>
      <c r="B94">
        <f>Sheet1!B179</f>
        <v>5</v>
      </c>
      <c r="E94">
        <f>Sheet1!E179</f>
        <v>1.18</v>
      </c>
      <c r="F94">
        <f>Sheet1!F179</f>
        <v>2</v>
      </c>
      <c r="G94">
        <f>Sheet1!G179</f>
        <v>22.8</v>
      </c>
      <c r="I94">
        <f>Sheet1!I179</f>
        <v>6.2</v>
      </c>
      <c r="J94">
        <f>Sheet1!J179</f>
        <v>31.7</v>
      </c>
      <c r="K94">
        <f>Sheet1!K179</f>
        <v>22.5</v>
      </c>
      <c r="M94">
        <f>Sheet1!M179</f>
        <v>896</v>
      </c>
    </row>
    <row r="95" spans="1:13" x14ac:dyDescent="0.4">
      <c r="A95">
        <v>13</v>
      </c>
      <c r="B95">
        <f>Sheet1!B180</f>
        <v>6</v>
      </c>
      <c r="E95">
        <f>AVERAGE(Sheet1!E180:E185)</f>
        <v>0.70000000000000007</v>
      </c>
      <c r="F95">
        <f>AVERAGE(Sheet1!F180:F185)</f>
        <v>1.9333333333333333</v>
      </c>
      <c r="G95">
        <f>AVERAGE(Sheet1!G180:G185)</f>
        <v>23.383333333333329</v>
      </c>
      <c r="I95" t="e">
        <f>AVERAGE(Sheet1!I180:I185)</f>
        <v>#DIV/0!</v>
      </c>
      <c r="J95">
        <f>AVERAGE(Sheet1!J180:J185)</f>
        <v>30.400000000000006</v>
      </c>
      <c r="K95">
        <f>AVERAGE(Sheet1!K180:K185)</f>
        <v>17.466666666666665</v>
      </c>
      <c r="M95">
        <f>AVERAGE(Sheet1!M180:M185)</f>
        <v>940</v>
      </c>
    </row>
    <row r="96" spans="1:13" x14ac:dyDescent="0.4">
      <c r="A96">
        <v>13</v>
      </c>
      <c r="B96">
        <f>Sheet1!B186</f>
        <v>7</v>
      </c>
      <c r="E96">
        <f>Sheet1!E186</f>
        <v>1.18</v>
      </c>
      <c r="F96">
        <f>Sheet1!F186</f>
        <v>3.4</v>
      </c>
      <c r="G96">
        <f>Sheet1!G186</f>
        <v>23.2</v>
      </c>
      <c r="I96">
        <f>Sheet1!I186</f>
        <v>6.9</v>
      </c>
      <c r="J96">
        <f>Sheet1!J186</f>
        <v>28.4</v>
      </c>
      <c r="K96">
        <f>Sheet1!K186</f>
        <v>20.8</v>
      </c>
      <c r="M96">
        <f>Sheet1!M186</f>
        <v>795</v>
      </c>
    </row>
    <row r="97" spans="1:13" x14ac:dyDescent="0.4">
      <c r="A97">
        <v>13</v>
      </c>
      <c r="B97">
        <f>Sheet1!B187</f>
        <v>8</v>
      </c>
      <c r="E97">
        <f>Sheet1!E187</f>
        <v>1.27</v>
      </c>
      <c r="F97">
        <f>Sheet1!F187</f>
        <v>2.1</v>
      </c>
      <c r="G97">
        <f>Sheet1!G187</f>
        <v>19.600000000000001</v>
      </c>
      <c r="I97">
        <f>Sheet1!I187</f>
        <v>6.2</v>
      </c>
      <c r="J97">
        <f>Sheet1!J187</f>
        <v>31</v>
      </c>
      <c r="K97">
        <f>Sheet1!K187</f>
        <v>23.6</v>
      </c>
      <c r="M97">
        <f>Sheet1!M187</f>
        <v>749</v>
      </c>
    </row>
    <row r="98" spans="1:13" x14ac:dyDescent="0.4">
      <c r="A98">
        <v>13</v>
      </c>
      <c r="B98">
        <f>Sheet1!B188</f>
        <v>9</v>
      </c>
      <c r="E98">
        <f>Sheet1!E188</f>
        <v>0.33</v>
      </c>
      <c r="F98">
        <f>Sheet1!F188</f>
        <v>2.1</v>
      </c>
      <c r="G98">
        <f>Sheet1!G188</f>
        <v>17.8</v>
      </c>
      <c r="I98">
        <f>Sheet1!I188</f>
        <v>3.8</v>
      </c>
      <c r="J98">
        <f>Sheet1!J188</f>
        <v>28.5</v>
      </c>
      <c r="K98">
        <f>Sheet1!K188</f>
        <v>24.6</v>
      </c>
      <c r="M98">
        <f>Sheet1!M188</f>
        <v>795</v>
      </c>
    </row>
    <row r="99" spans="1:13" x14ac:dyDescent="0.4">
      <c r="A99">
        <v>13</v>
      </c>
      <c r="B99">
        <f>Sheet1!B189</f>
        <v>10</v>
      </c>
      <c r="E99">
        <f>Sheet1!E189</f>
        <v>3.1</v>
      </c>
      <c r="F99">
        <f>Sheet1!F189</f>
        <v>2.95</v>
      </c>
      <c r="G99">
        <f>Sheet1!G189</f>
        <v>20.9</v>
      </c>
      <c r="I99">
        <f>Sheet1!I189</f>
        <v>4.2</v>
      </c>
      <c r="J99">
        <f>Sheet1!J189</f>
        <v>28</v>
      </c>
      <c r="K99">
        <f>Sheet1!K189</f>
        <v>23.3</v>
      </c>
      <c r="M99">
        <f>Sheet1!M189</f>
        <v>871</v>
      </c>
    </row>
    <row r="100" spans="1:13" x14ac:dyDescent="0.4">
      <c r="A100">
        <v>14</v>
      </c>
      <c r="B100">
        <f>Sheet1!B190</f>
        <v>1</v>
      </c>
      <c r="E100">
        <f>Sheet1!E190</f>
        <v>2.17</v>
      </c>
      <c r="F100">
        <f>Sheet1!F190</f>
        <v>2.7</v>
      </c>
      <c r="G100">
        <f>Sheet1!G190</f>
        <v>29.9</v>
      </c>
      <c r="I100">
        <f>Sheet1!I190</f>
        <v>9.5</v>
      </c>
      <c r="J100">
        <f>Sheet1!J190</f>
        <v>37</v>
      </c>
      <c r="K100">
        <f>Sheet1!K190</f>
        <v>36.78</v>
      </c>
      <c r="M100">
        <f>Sheet1!M190</f>
        <v>830</v>
      </c>
    </row>
    <row r="101" spans="1:13" x14ac:dyDescent="0.4">
      <c r="A101">
        <v>14</v>
      </c>
      <c r="B101">
        <f>Sheet1!B191</f>
        <v>2</v>
      </c>
      <c r="E101">
        <f>AVERAGE(Sheet1!E191:E197)</f>
        <v>2.0285714285714285</v>
      </c>
      <c r="F101">
        <f>AVERAGE(Sheet1!F191:F197)</f>
        <v>2.2857142857142856</v>
      </c>
      <c r="G101">
        <f>AVERAGE(Sheet1!G191:G197)</f>
        <v>25.171428571428574</v>
      </c>
      <c r="I101" t="e">
        <f>AVERAGE(Sheet1!I191:I197)</f>
        <v>#DIV/0!</v>
      </c>
      <c r="J101">
        <f>AVERAGE(Sheet1!J191:J197)</f>
        <v>34.557142857142857</v>
      </c>
      <c r="K101">
        <f>AVERAGE(Sheet1!K191:K197)</f>
        <v>32.828571428571436</v>
      </c>
      <c r="M101">
        <f>AVERAGE(Sheet1!M191:M197)</f>
        <v>813</v>
      </c>
    </row>
    <row r="102" spans="1:13" x14ac:dyDescent="0.4">
      <c r="A102">
        <v>14</v>
      </c>
      <c r="B102">
        <f>Sheet1!B198</f>
        <v>3</v>
      </c>
      <c r="E102">
        <f>Sheet1!E198</f>
        <v>2</v>
      </c>
      <c r="F102">
        <f>Sheet1!F198</f>
        <v>2.7</v>
      </c>
      <c r="G102">
        <f>Sheet1!G198</f>
        <v>27.5</v>
      </c>
      <c r="I102">
        <f>Sheet1!I198</f>
        <v>8.6999999999999993</v>
      </c>
      <c r="J102">
        <f>Sheet1!J198</f>
        <v>30.9</v>
      </c>
      <c r="K102">
        <f>Sheet1!K198</f>
        <v>31.4</v>
      </c>
      <c r="M102">
        <f>Sheet1!M198</f>
        <v>800</v>
      </c>
    </row>
    <row r="103" spans="1:13" x14ac:dyDescent="0.4">
      <c r="A103">
        <v>14</v>
      </c>
      <c r="B103">
        <f>Sheet1!B199</f>
        <v>4</v>
      </c>
      <c r="E103">
        <f>Sheet1!E199</f>
        <v>3.58</v>
      </c>
      <c r="F103">
        <f>Sheet1!F199</f>
        <v>1.5</v>
      </c>
      <c r="G103">
        <f>Sheet1!G199</f>
        <v>29.67</v>
      </c>
      <c r="I103">
        <f>Sheet1!I199</f>
        <v>10</v>
      </c>
      <c r="J103">
        <f>Sheet1!J199</f>
        <v>36.4</v>
      </c>
      <c r="K103">
        <f>Sheet1!K199</f>
        <v>33.700000000000003</v>
      </c>
      <c r="M103">
        <f>Sheet1!M199</f>
        <v>821</v>
      </c>
    </row>
    <row r="104" spans="1:13" x14ac:dyDescent="0.4">
      <c r="A104">
        <v>15</v>
      </c>
      <c r="B104">
        <f>Sheet1!B200</f>
        <v>1</v>
      </c>
      <c r="E104">
        <f>Sheet1!E200</f>
        <v>3.42</v>
      </c>
      <c r="F104">
        <f>Sheet1!F200</f>
        <v>3.4</v>
      </c>
      <c r="G104">
        <f>Sheet1!G200</f>
        <v>18.8</v>
      </c>
      <c r="I104">
        <f>Sheet1!I200</f>
        <v>5.3</v>
      </c>
      <c r="J104">
        <f>Sheet1!J200</f>
        <v>35.200000000000003</v>
      </c>
      <c r="K104">
        <f>Sheet1!K200</f>
        <v>24.9</v>
      </c>
      <c r="M104">
        <f>Sheet1!M200</f>
        <v>876</v>
      </c>
    </row>
    <row r="105" spans="1:13" x14ac:dyDescent="0.4">
      <c r="A105">
        <v>15</v>
      </c>
      <c r="B105">
        <f>Sheet1!B201</f>
        <v>2</v>
      </c>
      <c r="E105">
        <f>AVERAGE(Sheet1!E201:E203)</f>
        <v>2.5500000000000003</v>
      </c>
      <c r="F105">
        <f>AVERAGE(Sheet1!F201:F203)</f>
        <v>2.6333333333333333</v>
      </c>
      <c r="G105">
        <f>AVERAGE(Sheet1!G201:G203)</f>
        <v>17.899999999999999</v>
      </c>
      <c r="I105" t="e">
        <f>AVERAGE(Sheet1!I201:I203)</f>
        <v>#DIV/0!</v>
      </c>
      <c r="J105">
        <f>AVERAGE(Sheet1!J201:J203)</f>
        <v>33.633333333333333</v>
      </c>
      <c r="K105">
        <f>AVERAGE(Sheet1!K201:K203)</f>
        <v>21.366666666666664</v>
      </c>
      <c r="M105">
        <f>AVERAGE(Sheet1!M201:M203)</f>
        <v>862</v>
      </c>
    </row>
    <row r="106" spans="1:13" x14ac:dyDescent="0.4">
      <c r="A106">
        <v>15</v>
      </c>
      <c r="B106">
        <f>Sheet1!B204</f>
        <v>3</v>
      </c>
      <c r="E106">
        <f>Sheet1!E204</f>
        <v>3.62</v>
      </c>
      <c r="F106">
        <f>Sheet1!F204</f>
        <v>3.38</v>
      </c>
      <c r="G106">
        <f>Sheet1!G204</f>
        <v>20.9</v>
      </c>
      <c r="I106">
        <f>Sheet1!I204</f>
        <v>4.0999999999999996</v>
      </c>
      <c r="J106">
        <f>Sheet1!J204</f>
        <v>36</v>
      </c>
      <c r="K106">
        <f>Sheet1!K204</f>
        <v>22.18</v>
      </c>
      <c r="M106">
        <f>Sheet1!M204</f>
        <v>862</v>
      </c>
    </row>
    <row r="107" spans="1:13" x14ac:dyDescent="0.4">
      <c r="A107">
        <v>15</v>
      </c>
      <c r="B107">
        <f>Sheet1!B205</f>
        <v>4</v>
      </c>
      <c r="E107">
        <f>Sheet1!E205</f>
        <v>2.2799999999999998</v>
      </c>
      <c r="F107">
        <f>Sheet1!F205</f>
        <v>3.24</v>
      </c>
      <c r="G107">
        <f>Sheet1!G205</f>
        <v>20.78</v>
      </c>
      <c r="I107">
        <f>Sheet1!I205</f>
        <v>4.4000000000000004</v>
      </c>
      <c r="J107">
        <f>Sheet1!J205</f>
        <v>34</v>
      </c>
      <c r="K107">
        <f>Sheet1!K205</f>
        <v>22.46</v>
      </c>
      <c r="M107">
        <f>Sheet1!M205</f>
        <v>862</v>
      </c>
    </row>
    <row r="108" spans="1:13" x14ac:dyDescent="0.4">
      <c r="A108">
        <v>15</v>
      </c>
      <c r="B108">
        <f>Sheet1!B206</f>
        <v>5</v>
      </c>
      <c r="E108">
        <f>Sheet1!E206</f>
        <v>2.79</v>
      </c>
      <c r="F108">
        <f>Sheet1!F206</f>
        <v>2.4</v>
      </c>
      <c r="G108">
        <f>Sheet1!G206</f>
        <v>18.3</v>
      </c>
      <c r="I108">
        <f>Sheet1!I206</f>
        <v>3.7</v>
      </c>
      <c r="J108">
        <f>Sheet1!J206</f>
        <v>35.4</v>
      </c>
      <c r="K108">
        <f>Sheet1!K206</f>
        <v>25.14</v>
      </c>
      <c r="M108">
        <f>Sheet1!M206</f>
        <v>848</v>
      </c>
    </row>
    <row r="109" spans="1:13" x14ac:dyDescent="0.4">
      <c r="A109">
        <v>15</v>
      </c>
      <c r="B109">
        <f>Sheet1!B207</f>
        <v>6</v>
      </c>
      <c r="E109">
        <f>Sheet1!E207</f>
        <v>2.93</v>
      </c>
      <c r="F109">
        <f>Sheet1!F207</f>
        <v>2.16</v>
      </c>
      <c r="G109">
        <f>Sheet1!G207</f>
        <v>18.100000000000001</v>
      </c>
      <c r="I109">
        <f>Sheet1!I207</f>
        <v>3.5</v>
      </c>
      <c r="J109">
        <f>Sheet1!J207</f>
        <v>35.299999999999997</v>
      </c>
      <c r="K109">
        <f>Sheet1!K207</f>
        <v>22.3</v>
      </c>
      <c r="M109">
        <f>Sheet1!M207</f>
        <v>876</v>
      </c>
    </row>
    <row r="110" spans="1:13" x14ac:dyDescent="0.4">
      <c r="A110">
        <v>15</v>
      </c>
      <c r="B110">
        <f>Sheet1!B208</f>
        <v>7</v>
      </c>
      <c r="E110">
        <f>Sheet1!E208</f>
        <v>2.67</v>
      </c>
      <c r="F110">
        <f>Sheet1!F208</f>
        <v>2.92</v>
      </c>
      <c r="G110">
        <f>Sheet1!G208</f>
        <v>19.46</v>
      </c>
      <c r="I110">
        <f>Sheet1!I208</f>
        <v>4.0999999999999996</v>
      </c>
      <c r="J110">
        <f>Sheet1!J208</f>
        <v>35.950000000000003</v>
      </c>
      <c r="K110">
        <f>Sheet1!K208</f>
        <v>21.8</v>
      </c>
      <c r="M110">
        <f>Sheet1!M208</f>
        <v>848</v>
      </c>
    </row>
    <row r="111" spans="1:13" x14ac:dyDescent="0.4">
      <c r="A111">
        <v>15</v>
      </c>
      <c r="B111">
        <f>Sheet1!B209</f>
        <v>8</v>
      </c>
      <c r="E111">
        <f>Sheet1!E209</f>
        <v>2.33</v>
      </c>
      <c r="F111">
        <f>Sheet1!F209</f>
        <v>2.71</v>
      </c>
      <c r="G111">
        <f>Sheet1!G209</f>
        <v>19.8</v>
      </c>
      <c r="I111">
        <f>Sheet1!I209</f>
        <v>4.5</v>
      </c>
      <c r="J111">
        <f>Sheet1!J209</f>
        <v>36.24</v>
      </c>
      <c r="K111">
        <f>Sheet1!K209</f>
        <v>21.9</v>
      </c>
      <c r="M111">
        <f>Sheet1!M209</f>
        <v>848</v>
      </c>
    </row>
    <row r="112" spans="1:13" x14ac:dyDescent="0.4">
      <c r="A112">
        <v>15</v>
      </c>
      <c r="B112">
        <f>Sheet1!B210</f>
        <v>9</v>
      </c>
      <c r="E112">
        <f>Sheet1!E210</f>
        <v>2.11</v>
      </c>
      <c r="F112">
        <f>Sheet1!F210</f>
        <v>2.9</v>
      </c>
      <c r="G112">
        <f>Sheet1!G210</f>
        <v>19.2</v>
      </c>
      <c r="I112">
        <f>Sheet1!I210</f>
        <v>4.7</v>
      </c>
      <c r="J112">
        <f>Sheet1!J210</f>
        <v>36.1</v>
      </c>
      <c r="K112">
        <f>Sheet1!K210</f>
        <v>22.6</v>
      </c>
      <c r="M112">
        <f>Sheet1!M210</f>
        <v>848</v>
      </c>
    </row>
    <row r="113" spans="1:13" x14ac:dyDescent="0.4">
      <c r="A113">
        <v>15</v>
      </c>
      <c r="B113">
        <f>Sheet1!B211</f>
        <v>10</v>
      </c>
      <c r="E113">
        <f>Sheet1!E211</f>
        <v>2.1800000000000002</v>
      </c>
      <c r="F113">
        <f>Sheet1!F211</f>
        <v>3.17</v>
      </c>
      <c r="G113">
        <f>Sheet1!G211</f>
        <v>18.899999999999999</v>
      </c>
      <c r="I113">
        <f>Sheet1!I211</f>
        <v>3.9</v>
      </c>
      <c r="J113">
        <f>Sheet1!J211</f>
        <v>34.5</v>
      </c>
      <c r="K113">
        <f>Sheet1!K211</f>
        <v>22.5</v>
      </c>
      <c r="M113">
        <f>Sheet1!M211</f>
        <v>876</v>
      </c>
    </row>
    <row r="114" spans="1:13" x14ac:dyDescent="0.4">
      <c r="A114">
        <v>16</v>
      </c>
      <c r="B114">
        <f>Sheet1!B212</f>
        <v>1</v>
      </c>
      <c r="E114">
        <f>Sheet1!E212</f>
        <v>6</v>
      </c>
      <c r="F114">
        <f>Sheet1!F212</f>
        <v>6.8</v>
      </c>
      <c r="G114">
        <f>Sheet1!G212</f>
        <v>69.5</v>
      </c>
      <c r="I114">
        <f>Sheet1!I212</f>
        <v>6</v>
      </c>
      <c r="J114">
        <f>Sheet1!J212</f>
        <v>41.4</v>
      </c>
      <c r="K114">
        <f>Sheet1!K212</f>
        <v>25.9</v>
      </c>
      <c r="M114">
        <f>Sheet1!M212</f>
        <v>935</v>
      </c>
    </row>
    <row r="115" spans="1:13" x14ac:dyDescent="0.4">
      <c r="A115">
        <v>16</v>
      </c>
      <c r="B115">
        <f>Sheet1!B213</f>
        <v>2</v>
      </c>
      <c r="E115">
        <f>AVERAGE(Sheet1!E213:E219)</f>
        <v>3.6514285714285717</v>
      </c>
      <c r="F115">
        <f>AVERAGE(Sheet1!F213:F219)</f>
        <v>3.3285714285714287</v>
      </c>
      <c r="G115">
        <f>AVERAGE(Sheet1!G213:G219)</f>
        <v>61.900000000000013</v>
      </c>
      <c r="I115" t="e">
        <f>AVERAGE(Sheet1!I213:I219)</f>
        <v>#DIV/0!</v>
      </c>
      <c r="J115">
        <f>AVERAGE(Sheet1!J213:J219)</f>
        <v>43.128571428571433</v>
      </c>
      <c r="K115">
        <f>AVERAGE(Sheet1!K213:K219)</f>
        <v>24.714285714285715</v>
      </c>
      <c r="M115">
        <f>AVERAGE(Sheet1!M213:M219)</f>
        <v>1211</v>
      </c>
    </row>
    <row r="116" spans="1:13" x14ac:dyDescent="0.4">
      <c r="A116">
        <v>16</v>
      </c>
      <c r="B116">
        <f>Sheet1!B220</f>
        <v>3</v>
      </c>
      <c r="E116">
        <f>Sheet1!E220</f>
        <v>11</v>
      </c>
      <c r="F116">
        <f>Sheet1!F220</f>
        <v>4.9400000000000004</v>
      </c>
      <c r="G116">
        <f>Sheet1!G220</f>
        <v>70</v>
      </c>
      <c r="I116">
        <f>Sheet1!I220</f>
        <v>7.2</v>
      </c>
      <c r="J116">
        <f>Sheet1!J220</f>
        <v>37.1</v>
      </c>
      <c r="K116">
        <f>Sheet1!K220</f>
        <v>25</v>
      </c>
      <c r="M116">
        <f>Sheet1!M220</f>
        <v>1253</v>
      </c>
    </row>
    <row r="117" spans="1:13" x14ac:dyDescent="0.4">
      <c r="A117">
        <v>16</v>
      </c>
      <c r="B117">
        <f>Sheet1!B221</f>
        <v>4</v>
      </c>
      <c r="E117">
        <f>Sheet1!E221</f>
        <v>9.5</v>
      </c>
      <c r="F117">
        <f>Sheet1!F221</f>
        <v>4.6500000000000004</v>
      </c>
      <c r="G117">
        <f>Sheet1!G221</f>
        <v>68.400000000000006</v>
      </c>
      <c r="I117">
        <f>Sheet1!I221</f>
        <v>6.2</v>
      </c>
      <c r="J117">
        <f>Sheet1!J221</f>
        <v>39.6</v>
      </c>
      <c r="K117">
        <f>Sheet1!K221</f>
        <v>25.5</v>
      </c>
      <c r="M117">
        <f>Sheet1!M221</f>
        <v>952</v>
      </c>
    </row>
    <row r="118" spans="1:13" x14ac:dyDescent="0.4">
      <c r="A118">
        <v>16</v>
      </c>
      <c r="B118">
        <f>Sheet1!B222</f>
        <v>5</v>
      </c>
      <c r="E118">
        <f>Sheet1!E222</f>
        <v>8.9</v>
      </c>
      <c r="F118">
        <f>Sheet1!F222</f>
        <v>6.1</v>
      </c>
      <c r="G118">
        <f>Sheet1!G222</f>
        <v>70.8</v>
      </c>
      <c r="I118">
        <f>Sheet1!I222</f>
        <v>7.5</v>
      </c>
      <c r="J118">
        <f>Sheet1!J222</f>
        <v>38.200000000000003</v>
      </c>
      <c r="K118">
        <f>Sheet1!K222</f>
        <v>21.3</v>
      </c>
      <c r="M118">
        <f>Sheet1!M222</f>
        <v>1142</v>
      </c>
    </row>
    <row r="119" spans="1:13" x14ac:dyDescent="0.4">
      <c r="A119">
        <v>16</v>
      </c>
      <c r="B119">
        <f>Sheet1!B223</f>
        <v>6</v>
      </c>
      <c r="E119">
        <f>Sheet1!E223</f>
        <v>10.3</v>
      </c>
      <c r="F119">
        <f>Sheet1!F223</f>
        <v>5.75</v>
      </c>
      <c r="G119">
        <f>Sheet1!G223</f>
        <v>70.5</v>
      </c>
      <c r="I119">
        <f>Sheet1!I223</f>
        <v>3.8</v>
      </c>
      <c r="J119">
        <f>Sheet1!J223</f>
        <v>39.4</v>
      </c>
      <c r="K119">
        <f>Sheet1!K223</f>
        <v>23.4</v>
      </c>
      <c r="M119">
        <f>Sheet1!M223</f>
        <v>1043</v>
      </c>
    </row>
    <row r="120" spans="1:13" x14ac:dyDescent="0.4">
      <c r="A120">
        <v>16</v>
      </c>
      <c r="B120">
        <f>Sheet1!B224</f>
        <v>7</v>
      </c>
      <c r="E120">
        <f>Sheet1!E224</f>
        <v>9.1</v>
      </c>
      <c r="F120">
        <f>Sheet1!F224</f>
        <v>5.54</v>
      </c>
      <c r="G120">
        <f>Sheet1!G224</f>
        <v>69.900000000000006</v>
      </c>
      <c r="I120">
        <f>Sheet1!I224</f>
        <v>5.4</v>
      </c>
      <c r="J120">
        <f>Sheet1!J224</f>
        <v>40.299999999999997</v>
      </c>
      <c r="K120">
        <f>Sheet1!K224</f>
        <v>23.3</v>
      </c>
      <c r="M120">
        <f>Sheet1!M224</f>
        <v>932</v>
      </c>
    </row>
    <row r="121" spans="1:13" x14ac:dyDescent="0.4">
      <c r="A121">
        <v>16</v>
      </c>
      <c r="B121">
        <f>Sheet1!B225</f>
        <v>8</v>
      </c>
      <c r="E121">
        <f>Sheet1!E225</f>
        <v>6.6</v>
      </c>
      <c r="F121">
        <f>Sheet1!F225</f>
        <v>6.34</v>
      </c>
      <c r="G121">
        <f>Sheet1!G225</f>
        <v>69.5</v>
      </c>
      <c r="I121">
        <f>Sheet1!I225</f>
        <v>7</v>
      </c>
      <c r="J121">
        <f>Sheet1!J225</f>
        <v>40.85</v>
      </c>
      <c r="K121">
        <f>Sheet1!K225</f>
        <v>20.2</v>
      </c>
      <c r="M121">
        <f>Sheet1!M225</f>
        <v>1401</v>
      </c>
    </row>
    <row r="122" spans="1:13" x14ac:dyDescent="0.4">
      <c r="A122">
        <v>16</v>
      </c>
      <c r="B122">
        <f>Sheet1!B226</f>
        <v>9</v>
      </c>
      <c r="E122">
        <f>Sheet1!E226</f>
        <v>8.9</v>
      </c>
      <c r="F122">
        <f>Sheet1!F226</f>
        <v>4.33</v>
      </c>
      <c r="G122">
        <f>Sheet1!G226</f>
        <v>71.900000000000006</v>
      </c>
      <c r="I122">
        <f>Sheet1!I226</f>
        <v>2.6</v>
      </c>
      <c r="J122">
        <f>Sheet1!J226</f>
        <v>35</v>
      </c>
      <c r="K122">
        <f>Sheet1!K226</f>
        <v>21.4</v>
      </c>
      <c r="M122">
        <f>Sheet1!M226</f>
        <v>887</v>
      </c>
    </row>
    <row r="123" spans="1:13" x14ac:dyDescent="0.4">
      <c r="A123">
        <v>16</v>
      </c>
      <c r="B123">
        <f>Sheet1!B227</f>
        <v>10</v>
      </c>
      <c r="E123">
        <f>Sheet1!E227</f>
        <v>7.3</v>
      </c>
      <c r="F123">
        <f>Sheet1!F227</f>
        <v>5.48</v>
      </c>
      <c r="G123">
        <f>Sheet1!G227</f>
        <v>71.3</v>
      </c>
      <c r="I123">
        <f>Sheet1!I227</f>
        <v>5.7</v>
      </c>
      <c r="J123">
        <f>Sheet1!J227</f>
        <v>38.1</v>
      </c>
      <c r="K123">
        <f>Sheet1!K227</f>
        <v>25.3</v>
      </c>
      <c r="M123">
        <f>Sheet1!M227</f>
        <v>1108</v>
      </c>
    </row>
    <row r="124" spans="1:13" x14ac:dyDescent="0.4">
      <c r="A124">
        <v>17</v>
      </c>
      <c r="B124">
        <f>Sheet1!B228</f>
        <v>1</v>
      </c>
      <c r="E124">
        <f>Sheet1!E228</f>
        <v>5.4</v>
      </c>
      <c r="F124">
        <f>Sheet1!F228</f>
        <v>2.96</v>
      </c>
      <c r="G124">
        <f>Sheet1!G228</f>
        <v>31.3</v>
      </c>
      <c r="I124">
        <f>Sheet1!I228</f>
        <v>6.6</v>
      </c>
      <c r="J124">
        <f>Sheet1!J228</f>
        <v>44.9</v>
      </c>
      <c r="K124">
        <f>Sheet1!K228</f>
        <v>35.9</v>
      </c>
      <c r="M124">
        <f>Sheet1!M228</f>
        <v>764</v>
      </c>
    </row>
    <row r="125" spans="1:13" x14ac:dyDescent="0.4">
      <c r="A125">
        <v>17</v>
      </c>
      <c r="B125">
        <f>Sheet1!B229</f>
        <v>2</v>
      </c>
      <c r="E125">
        <f>AVERAGE(Sheet1!E229:E234)</f>
        <v>1.666666666666667</v>
      </c>
      <c r="F125">
        <f>AVERAGE(Sheet1!F229:F234)</f>
        <v>2.2500000000000004</v>
      </c>
      <c r="G125">
        <f>AVERAGE(Sheet1!G229:G234)</f>
        <v>27.583333333333332</v>
      </c>
      <c r="I125" t="e">
        <f>AVERAGE(Sheet1!I229:I234)</f>
        <v>#DIV/0!</v>
      </c>
      <c r="J125">
        <f>AVERAGE(Sheet1!J229:J234)</f>
        <v>38.550000000000004</v>
      </c>
      <c r="K125">
        <f>AVERAGE(Sheet1!K229:K234)</f>
        <v>27.55</v>
      </c>
      <c r="M125">
        <f>AVERAGE(Sheet1!M229:M234)</f>
        <v>564</v>
      </c>
    </row>
    <row r="126" spans="1:13" x14ac:dyDescent="0.4">
      <c r="A126">
        <v>17</v>
      </c>
      <c r="B126">
        <f>Sheet1!B235</f>
        <v>3</v>
      </c>
      <c r="E126">
        <f>Sheet1!E235</f>
        <v>3.5</v>
      </c>
      <c r="F126">
        <f>Sheet1!F235</f>
        <v>3.48</v>
      </c>
      <c r="G126">
        <f>Sheet1!G235</f>
        <v>30.8</v>
      </c>
      <c r="I126">
        <f>Sheet1!I235</f>
        <v>6.9</v>
      </c>
      <c r="J126">
        <f>Sheet1!J235</f>
        <v>42.4</v>
      </c>
      <c r="K126">
        <f>Sheet1!K235</f>
        <v>46.7</v>
      </c>
      <c r="M126">
        <f>Sheet1!M235</f>
        <v>742</v>
      </c>
    </row>
    <row r="127" spans="1:13" x14ac:dyDescent="0.4">
      <c r="A127">
        <v>17</v>
      </c>
      <c r="B127">
        <f>Sheet1!B236</f>
        <v>4</v>
      </c>
      <c r="E127">
        <f>Sheet1!E236</f>
        <v>4.13</v>
      </c>
      <c r="F127">
        <f>Sheet1!F236</f>
        <v>2.11</v>
      </c>
      <c r="G127">
        <f>Sheet1!G236</f>
        <v>30.8</v>
      </c>
      <c r="I127">
        <f>Sheet1!I236</f>
        <v>6.6</v>
      </c>
      <c r="J127">
        <f>Sheet1!J236</f>
        <v>39.799999999999997</v>
      </c>
      <c r="K127">
        <f>Sheet1!K236</f>
        <v>33.299999999999997</v>
      </c>
      <c r="M127">
        <f>Sheet1!M236</f>
        <v>666</v>
      </c>
    </row>
    <row r="128" spans="1:13" x14ac:dyDescent="0.4">
      <c r="A128">
        <v>17</v>
      </c>
      <c r="B128">
        <f>Sheet1!B237</f>
        <v>5</v>
      </c>
      <c r="E128">
        <f>Sheet1!E237</f>
        <v>2.88</v>
      </c>
      <c r="F128">
        <f>Sheet1!F237</f>
        <v>2.33</v>
      </c>
      <c r="G128">
        <f>Sheet1!G237</f>
        <v>29.6</v>
      </c>
      <c r="I128">
        <f>Sheet1!I237</f>
        <v>6</v>
      </c>
      <c r="J128">
        <f>Sheet1!J237</f>
        <v>41.5</v>
      </c>
      <c r="K128">
        <f>Sheet1!K237</f>
        <v>36.299999999999997</v>
      </c>
      <c r="M128">
        <f>Sheet1!M237</f>
        <v>786</v>
      </c>
    </row>
    <row r="129" spans="1:13" x14ac:dyDescent="0.4">
      <c r="A129">
        <v>17</v>
      </c>
      <c r="B129">
        <f>Sheet1!B238</f>
        <v>6</v>
      </c>
      <c r="E129">
        <f>Sheet1!E238</f>
        <v>4</v>
      </c>
      <c r="F129">
        <f>Sheet1!F238</f>
        <v>2.6</v>
      </c>
      <c r="G129">
        <f>Sheet1!G238</f>
        <v>31.5</v>
      </c>
      <c r="I129">
        <f>Sheet1!I238</f>
        <v>5.9</v>
      </c>
      <c r="J129">
        <f>Sheet1!J238</f>
        <v>45</v>
      </c>
      <c r="K129">
        <f>Sheet1!K238</f>
        <v>35.6</v>
      </c>
      <c r="M129">
        <f>Sheet1!M238</f>
        <v>786</v>
      </c>
    </row>
    <row r="130" spans="1:13" x14ac:dyDescent="0.4">
      <c r="A130">
        <v>17</v>
      </c>
      <c r="B130">
        <f>Sheet1!B239</f>
        <v>7</v>
      </c>
      <c r="E130">
        <f>Sheet1!E239</f>
        <v>3.2</v>
      </c>
      <c r="F130">
        <f>Sheet1!F239</f>
        <v>2.8</v>
      </c>
      <c r="G130">
        <f>Sheet1!G239</f>
        <v>31.3</v>
      </c>
      <c r="I130">
        <f>Sheet1!I239</f>
        <v>0</v>
      </c>
      <c r="J130">
        <f>Sheet1!J239</f>
        <v>39.799999999999997</v>
      </c>
      <c r="K130">
        <f>Sheet1!K239</f>
        <v>33.200000000000003</v>
      </c>
      <c r="M130">
        <f>Sheet1!M239</f>
        <v>684</v>
      </c>
    </row>
    <row r="131" spans="1:13" x14ac:dyDescent="0.4">
      <c r="A131">
        <v>18</v>
      </c>
      <c r="B131">
        <f>Sheet1!B240</f>
        <v>1</v>
      </c>
      <c r="E131">
        <f>Sheet1!E240</f>
        <v>2.81</v>
      </c>
      <c r="F131">
        <f>Sheet1!F240</f>
        <v>3.3</v>
      </c>
      <c r="G131">
        <f>Sheet1!G240</f>
        <v>22.9</v>
      </c>
      <c r="I131">
        <f>Sheet1!I240</f>
        <v>9.3000000000000007</v>
      </c>
      <c r="J131">
        <f>Sheet1!J240</f>
        <v>38</v>
      </c>
      <c r="K131">
        <f>Sheet1!K240</f>
        <v>27.3</v>
      </c>
      <c r="M131">
        <f>Sheet1!M240</f>
        <v>1024</v>
      </c>
    </row>
    <row r="132" spans="1:13" x14ac:dyDescent="0.4">
      <c r="A132">
        <v>18</v>
      </c>
      <c r="B132">
        <f>Sheet1!B241</f>
        <v>2</v>
      </c>
      <c r="E132">
        <f>AVERAGE(Sheet1!E241:E246)</f>
        <v>2.85</v>
      </c>
      <c r="F132">
        <f>AVERAGE(Sheet1!F241:F246)</f>
        <v>2.5500000000000003</v>
      </c>
      <c r="G132">
        <f>AVERAGE(Sheet1!G241:G246)</f>
        <v>20.183333333333337</v>
      </c>
      <c r="I132" t="e">
        <f>AVERAGE(Sheet1!I241:I246)</f>
        <v>#DIV/0!</v>
      </c>
      <c r="J132">
        <f>AVERAGE(Sheet1!J241:J246)</f>
        <v>32.9</v>
      </c>
      <c r="K132">
        <f>AVERAGE(Sheet1!K241:K246)</f>
        <v>24.316666666666666</v>
      </c>
      <c r="M132">
        <f>AVERAGE(Sheet1!M241:M246)</f>
        <v>447</v>
      </c>
    </row>
    <row r="133" spans="1:13" x14ac:dyDescent="0.4">
      <c r="A133">
        <v>18</v>
      </c>
      <c r="B133">
        <f>Sheet1!B247</f>
        <v>3</v>
      </c>
      <c r="E133">
        <f>Sheet1!E247</f>
        <v>4.25</v>
      </c>
      <c r="F133">
        <f>Sheet1!F247</f>
        <v>3.5</v>
      </c>
      <c r="G133">
        <f>Sheet1!G247</f>
        <v>21.6</v>
      </c>
      <c r="I133">
        <f>Sheet1!I247</f>
        <v>7.6</v>
      </c>
      <c r="J133">
        <f>Sheet1!J247</f>
        <v>37.6</v>
      </c>
      <c r="K133">
        <f>Sheet1!K247</f>
        <v>25.7</v>
      </c>
      <c r="M133">
        <f>Sheet1!M247</f>
        <v>1197</v>
      </c>
    </row>
    <row r="134" spans="1:13" x14ac:dyDescent="0.4">
      <c r="A134">
        <v>18</v>
      </c>
      <c r="B134">
        <f>Sheet1!B248</f>
        <v>4</v>
      </c>
      <c r="E134">
        <f>Sheet1!E248</f>
        <v>5.0999999999999996</v>
      </c>
      <c r="F134">
        <f>Sheet1!F248</f>
        <v>3.4</v>
      </c>
      <c r="G134">
        <f>Sheet1!G248</f>
        <v>22.5</v>
      </c>
      <c r="I134">
        <f>Sheet1!I248</f>
        <v>10.1</v>
      </c>
      <c r="J134">
        <f>Sheet1!J248</f>
        <v>35.6</v>
      </c>
      <c r="K134">
        <f>Sheet1!K248</f>
        <v>30.1</v>
      </c>
      <c r="M134">
        <f>Sheet1!M248</f>
        <v>1024</v>
      </c>
    </row>
    <row r="135" spans="1:13" x14ac:dyDescent="0.4">
      <c r="A135">
        <v>18</v>
      </c>
      <c r="B135">
        <f>Sheet1!B249</f>
        <v>5</v>
      </c>
      <c r="E135">
        <f>Sheet1!E249</f>
        <v>4</v>
      </c>
      <c r="F135">
        <f>Sheet1!F249</f>
        <v>3.1</v>
      </c>
      <c r="G135">
        <f>Sheet1!G249</f>
        <v>18.5</v>
      </c>
      <c r="I135">
        <f>Sheet1!I249</f>
        <v>8.3000000000000007</v>
      </c>
      <c r="J135">
        <f>Sheet1!J249</f>
        <v>36.200000000000003</v>
      </c>
      <c r="K135">
        <f>Sheet1!K249</f>
        <v>28.6</v>
      </c>
      <c r="M135">
        <f>Sheet1!M249</f>
        <v>1039</v>
      </c>
    </row>
    <row r="136" spans="1:13" x14ac:dyDescent="0.4">
      <c r="A136">
        <v>18</v>
      </c>
      <c r="B136">
        <f>Sheet1!B250</f>
        <v>6</v>
      </c>
      <c r="E136">
        <f>Sheet1!E250</f>
        <v>2.8</v>
      </c>
      <c r="F136">
        <f>Sheet1!F250</f>
        <v>3.4</v>
      </c>
      <c r="G136">
        <f>Sheet1!G250</f>
        <v>22.3</v>
      </c>
      <c r="I136">
        <f>Sheet1!I250</f>
        <v>10.199999999999999</v>
      </c>
      <c r="J136">
        <f>Sheet1!J250</f>
        <v>35</v>
      </c>
      <c r="K136">
        <f>Sheet1!K250</f>
        <v>23</v>
      </c>
      <c r="M136">
        <f>Sheet1!M250</f>
        <v>1039</v>
      </c>
    </row>
    <row r="137" spans="1:13" x14ac:dyDescent="0.4">
      <c r="A137">
        <v>18</v>
      </c>
      <c r="B137">
        <f>Sheet1!B251</f>
        <v>7</v>
      </c>
      <c r="E137">
        <f>Sheet1!E251</f>
        <v>3.9</v>
      </c>
      <c r="F137">
        <f>Sheet1!F251</f>
        <v>4.2</v>
      </c>
      <c r="G137">
        <f>Sheet1!G251</f>
        <v>20.3</v>
      </c>
      <c r="I137">
        <f>Sheet1!I251</f>
        <v>10.5</v>
      </c>
      <c r="J137">
        <f>Sheet1!J251</f>
        <v>34.4</v>
      </c>
      <c r="K137">
        <f>Sheet1!K251</f>
        <v>23.1</v>
      </c>
      <c r="M137">
        <f>Sheet1!M251</f>
        <v>1039</v>
      </c>
    </row>
    <row r="138" spans="1:13" x14ac:dyDescent="0.4">
      <c r="A138">
        <v>18</v>
      </c>
      <c r="B138">
        <f>Sheet1!B252</f>
        <v>8</v>
      </c>
      <c r="E138">
        <f>Sheet1!E252</f>
        <v>3.6</v>
      </c>
      <c r="F138">
        <f>Sheet1!F252</f>
        <v>3.2</v>
      </c>
      <c r="G138">
        <f>Sheet1!G252</f>
        <v>18</v>
      </c>
      <c r="I138">
        <f>Sheet1!I252</f>
        <v>8.4</v>
      </c>
      <c r="J138">
        <f>Sheet1!J252</f>
        <v>36.299999999999997</v>
      </c>
      <c r="K138">
        <f>Sheet1!K252</f>
        <v>22.3</v>
      </c>
      <c r="M138">
        <f>Sheet1!M252</f>
        <v>1039</v>
      </c>
    </row>
    <row r="139" spans="1:13" x14ac:dyDescent="0.4">
      <c r="A139">
        <v>18</v>
      </c>
      <c r="B139">
        <f>Sheet1!B253</f>
        <v>9</v>
      </c>
      <c r="E139">
        <f>Sheet1!E253</f>
        <v>4.5999999999999996</v>
      </c>
      <c r="F139">
        <f>Sheet1!F253</f>
        <v>3.9</v>
      </c>
      <c r="G139">
        <f>Sheet1!G253</f>
        <v>15.3</v>
      </c>
      <c r="I139">
        <f>Sheet1!I253</f>
        <v>11.8</v>
      </c>
      <c r="J139">
        <f>Sheet1!J253</f>
        <v>31</v>
      </c>
      <c r="K139">
        <f>Sheet1!K253</f>
        <v>21.9</v>
      </c>
      <c r="M139">
        <f>Sheet1!M253</f>
        <v>436</v>
      </c>
    </row>
    <row r="140" spans="1:13" x14ac:dyDescent="0.4">
      <c r="A140">
        <v>18</v>
      </c>
      <c r="B140">
        <f>Sheet1!B254</f>
        <v>10</v>
      </c>
      <c r="E140">
        <f>Sheet1!E254</f>
        <v>3.3</v>
      </c>
      <c r="F140">
        <f>Sheet1!F254</f>
        <v>3.8</v>
      </c>
      <c r="G140">
        <f>Sheet1!G254</f>
        <v>16.899999999999999</v>
      </c>
      <c r="I140">
        <f>Sheet1!I254</f>
        <v>7.7</v>
      </c>
      <c r="J140">
        <f>Sheet1!J254</f>
        <v>35.700000000000003</v>
      </c>
      <c r="K140">
        <f>Sheet1!K254</f>
        <v>20.8</v>
      </c>
      <c r="M140">
        <f>Sheet1!M254</f>
        <v>1201</v>
      </c>
    </row>
    <row r="141" spans="1:13" x14ac:dyDescent="0.4">
      <c r="A141">
        <v>19</v>
      </c>
      <c r="B141">
        <f>Sheet1!B255</f>
        <v>1</v>
      </c>
      <c r="E141">
        <f>Sheet1!E255</f>
        <v>7.7</v>
      </c>
      <c r="F141">
        <f>Sheet1!F255</f>
        <v>4.7</v>
      </c>
      <c r="G141">
        <f>Sheet1!G255</f>
        <v>30.5</v>
      </c>
      <c r="I141">
        <f>Sheet1!I255</f>
        <v>0</v>
      </c>
      <c r="J141">
        <f>Sheet1!J255</f>
        <v>30.4</v>
      </c>
      <c r="K141">
        <f>Sheet1!K255</f>
        <v>18.7</v>
      </c>
      <c r="M141">
        <f>Sheet1!M255</f>
        <v>1368</v>
      </c>
    </row>
    <row r="142" spans="1:13" x14ac:dyDescent="0.4">
      <c r="A142">
        <v>19</v>
      </c>
      <c r="B142">
        <f>Sheet1!B256</f>
        <v>2</v>
      </c>
      <c r="E142">
        <f>AVERAGE(Sheet1!E256:E260)</f>
        <v>3.62</v>
      </c>
      <c r="F142">
        <f>AVERAGE(Sheet1!F256:F260)</f>
        <v>3.5200000000000005</v>
      </c>
      <c r="G142">
        <f>AVERAGE(Sheet1!G256:G260)</f>
        <v>30.454000000000001</v>
      </c>
      <c r="I142" t="e">
        <f>AVERAGE(Sheet1!I256:I260)</f>
        <v>#DIV/0!</v>
      </c>
      <c r="J142">
        <f>AVERAGE(Sheet1!J256:J260)</f>
        <v>36.76</v>
      </c>
      <c r="K142">
        <f>AVERAGE(Sheet1!K256:K260)</f>
        <v>18.32</v>
      </c>
      <c r="M142">
        <f>AVERAGE(Sheet1!M256:M260)</f>
        <v>894</v>
      </c>
    </row>
    <row r="143" spans="1:13" x14ac:dyDescent="0.4">
      <c r="A143">
        <v>19</v>
      </c>
      <c r="B143">
        <f>Sheet1!B261</f>
        <v>3</v>
      </c>
      <c r="E143">
        <f>Sheet1!E261</f>
        <v>7</v>
      </c>
      <c r="F143">
        <f>Sheet1!F261</f>
        <v>3</v>
      </c>
      <c r="G143">
        <f>Sheet1!G261</f>
        <v>31.8</v>
      </c>
      <c r="I143">
        <f>Sheet1!I261</f>
        <v>0</v>
      </c>
      <c r="J143">
        <f>Sheet1!J261</f>
        <v>33.700000000000003</v>
      </c>
      <c r="K143">
        <f>Sheet1!K261</f>
        <v>19.5</v>
      </c>
      <c r="M143">
        <f>Sheet1!M261</f>
        <v>1133</v>
      </c>
    </row>
    <row r="144" spans="1:13" x14ac:dyDescent="0.4">
      <c r="A144">
        <v>19</v>
      </c>
      <c r="B144">
        <f>Sheet1!B262</f>
        <v>4</v>
      </c>
      <c r="E144">
        <f>Sheet1!E262</f>
        <v>6.6</v>
      </c>
      <c r="F144">
        <f>Sheet1!F262</f>
        <v>3.7</v>
      </c>
      <c r="G144">
        <f>Sheet1!G262</f>
        <v>27.6</v>
      </c>
      <c r="I144">
        <f>Sheet1!I262</f>
        <v>2.8</v>
      </c>
      <c r="J144">
        <f>Sheet1!J262</f>
        <v>34.799999999999997</v>
      </c>
      <c r="K144">
        <f>Sheet1!K262</f>
        <v>17</v>
      </c>
      <c r="M144">
        <f>Sheet1!M262</f>
        <v>1087</v>
      </c>
    </row>
    <row r="145" spans="1:13" x14ac:dyDescent="0.4">
      <c r="A145">
        <v>19</v>
      </c>
      <c r="B145">
        <f>Sheet1!B263</f>
        <v>5</v>
      </c>
      <c r="E145">
        <f>Sheet1!E263</f>
        <v>6.8</v>
      </c>
      <c r="F145">
        <f>Sheet1!F263</f>
        <v>3.5</v>
      </c>
      <c r="G145">
        <f>Sheet1!G263</f>
        <v>29.7</v>
      </c>
      <c r="I145">
        <f>Sheet1!I263</f>
        <v>2.2999999999999998</v>
      </c>
      <c r="J145">
        <f>Sheet1!J263</f>
        <v>30.3</v>
      </c>
      <c r="K145">
        <f>Sheet1!K263</f>
        <v>19.3</v>
      </c>
      <c r="M145">
        <f>Sheet1!M263</f>
        <v>802</v>
      </c>
    </row>
    <row r="146" spans="1:13" x14ac:dyDescent="0.4">
      <c r="A146">
        <v>19</v>
      </c>
      <c r="B146">
        <f>Sheet1!B264</f>
        <v>6</v>
      </c>
      <c r="E146">
        <f>Sheet1!E264</f>
        <v>5.7</v>
      </c>
      <c r="F146">
        <f>Sheet1!F264</f>
        <v>3.78</v>
      </c>
      <c r="G146">
        <f>Sheet1!G264</f>
        <v>29</v>
      </c>
      <c r="I146">
        <f>Sheet1!I264</f>
        <v>3</v>
      </c>
      <c r="J146">
        <f>Sheet1!J264</f>
        <v>32.4</v>
      </c>
      <c r="K146">
        <f>Sheet1!K264</f>
        <v>17.600000000000001</v>
      </c>
      <c r="M146">
        <f>Sheet1!M264</f>
        <v>1382</v>
      </c>
    </row>
    <row r="147" spans="1:13" x14ac:dyDescent="0.4">
      <c r="A147">
        <v>19</v>
      </c>
      <c r="B147">
        <f>Sheet1!B265</f>
        <v>7</v>
      </c>
      <c r="E147">
        <f>Sheet1!E265</f>
        <v>6.2</v>
      </c>
      <c r="F147">
        <f>Sheet1!F265</f>
        <v>3.5</v>
      </c>
      <c r="G147">
        <f>Sheet1!G265</f>
        <v>28</v>
      </c>
      <c r="I147">
        <f>Sheet1!I265</f>
        <v>0</v>
      </c>
      <c r="J147">
        <f>Sheet1!J265</f>
        <v>34.6</v>
      </c>
      <c r="K147">
        <f>Sheet1!K265</f>
        <v>16.5</v>
      </c>
      <c r="M147">
        <f>Sheet1!M265</f>
        <v>540</v>
      </c>
    </row>
    <row r="148" spans="1:13" x14ac:dyDescent="0.4">
      <c r="A148">
        <v>19</v>
      </c>
      <c r="B148">
        <f>Sheet1!B266</f>
        <v>8</v>
      </c>
      <c r="E148">
        <f>Sheet1!E266</f>
        <v>8.5</v>
      </c>
      <c r="F148">
        <f>Sheet1!F266</f>
        <v>4</v>
      </c>
      <c r="G148">
        <f>Sheet1!G266</f>
        <v>30.6</v>
      </c>
      <c r="I148">
        <f>Sheet1!I266</f>
        <v>2.1</v>
      </c>
      <c r="J148">
        <f>Sheet1!J266</f>
        <v>33.5</v>
      </c>
      <c r="K148">
        <f>Sheet1!K266</f>
        <v>19.7</v>
      </c>
      <c r="M148">
        <f>Sheet1!M266</f>
        <v>1200</v>
      </c>
    </row>
    <row r="149" spans="1:13" x14ac:dyDescent="0.4">
      <c r="A149">
        <v>19</v>
      </c>
      <c r="B149">
        <f>Sheet1!B267</f>
        <v>9</v>
      </c>
      <c r="E149">
        <f>Sheet1!E267</f>
        <v>6.8</v>
      </c>
      <c r="F149">
        <f>Sheet1!F267</f>
        <v>3.5</v>
      </c>
      <c r="G149">
        <f>Sheet1!G267</f>
        <v>34</v>
      </c>
      <c r="I149">
        <f>Sheet1!I267</f>
        <v>5.7</v>
      </c>
      <c r="J149">
        <f>Sheet1!J267</f>
        <v>36.700000000000003</v>
      </c>
      <c r="K149">
        <f>Sheet1!K267</f>
        <v>23.9</v>
      </c>
      <c r="M149">
        <f>Sheet1!M267</f>
        <v>1568</v>
      </c>
    </row>
    <row r="150" spans="1:13" x14ac:dyDescent="0.4">
      <c r="A150">
        <v>19</v>
      </c>
      <c r="B150">
        <f>Sheet1!B268</f>
        <v>10</v>
      </c>
      <c r="E150">
        <f>Sheet1!E268</f>
        <v>4.7</v>
      </c>
      <c r="F150">
        <f>Sheet1!F268</f>
        <v>4.0999999999999996</v>
      </c>
      <c r="G150">
        <f>Sheet1!G268</f>
        <v>30.4</v>
      </c>
      <c r="I150">
        <f>Sheet1!I268</f>
        <v>2.7</v>
      </c>
      <c r="J150">
        <f>Sheet1!J268</f>
        <v>33.5</v>
      </c>
      <c r="K150">
        <f>Sheet1!K268</f>
        <v>16.5</v>
      </c>
      <c r="M150">
        <f>Sheet1!M268</f>
        <v>625</v>
      </c>
    </row>
    <row r="151" spans="1:13" x14ac:dyDescent="0.4">
      <c r="A151">
        <v>20</v>
      </c>
      <c r="B151">
        <f>Sheet1!B269</f>
        <v>1</v>
      </c>
      <c r="E151">
        <f>Sheet1!E269</f>
        <v>2.6</v>
      </c>
      <c r="F151">
        <f>Sheet1!F269</f>
        <v>3</v>
      </c>
      <c r="G151">
        <f>Sheet1!G269</f>
        <v>29.6</v>
      </c>
      <c r="I151">
        <f>Sheet1!I269</f>
        <v>5</v>
      </c>
      <c r="J151">
        <f>Sheet1!J269</f>
        <v>41.6</v>
      </c>
      <c r="K151">
        <f>Sheet1!K269</f>
        <v>29.18</v>
      </c>
      <c r="M151">
        <f>Sheet1!M269</f>
        <v>1065</v>
      </c>
    </row>
    <row r="152" spans="1:13" x14ac:dyDescent="0.4">
      <c r="A152">
        <v>20</v>
      </c>
      <c r="B152">
        <f>Sheet1!B270</f>
        <v>2</v>
      </c>
      <c r="E152">
        <f>AVERAGE(Sheet1!E270:E275)</f>
        <v>1.3683333333333334</v>
      </c>
      <c r="F152">
        <f>AVERAGE(Sheet1!F270:F275)</f>
        <v>3.25</v>
      </c>
      <c r="G152">
        <f>AVERAGE(Sheet1!G270:G275)</f>
        <v>25.866666666666664</v>
      </c>
      <c r="I152" t="e">
        <f>AVERAGE(Sheet1!I270:I275)</f>
        <v>#DIV/0!</v>
      </c>
      <c r="J152">
        <f>AVERAGE(Sheet1!J270:J275)</f>
        <v>39.949999999999996</v>
      </c>
      <c r="K152">
        <f>AVERAGE(Sheet1!K270:K275)</f>
        <v>30.941666666666666</v>
      </c>
      <c r="M152">
        <f>AVERAGE(Sheet1!M270:M275)</f>
        <v>969</v>
      </c>
    </row>
    <row r="153" spans="1:13" x14ac:dyDescent="0.4">
      <c r="A153">
        <v>20</v>
      </c>
      <c r="B153">
        <f>Sheet1!B276</f>
        <v>3</v>
      </c>
      <c r="E153">
        <f>Sheet1!E276</f>
        <v>3.8</v>
      </c>
      <c r="F153">
        <f>Sheet1!F276</f>
        <v>4.5</v>
      </c>
      <c r="G153">
        <f>Sheet1!G276</f>
        <v>26.8</v>
      </c>
      <c r="I153">
        <f>Sheet1!I276</f>
        <v>6</v>
      </c>
      <c r="J153">
        <f>Sheet1!J276</f>
        <v>38.299999999999997</v>
      </c>
      <c r="K153">
        <f>Sheet1!K276</f>
        <v>35.4</v>
      </c>
      <c r="M153">
        <f>Sheet1!M276</f>
        <v>860</v>
      </c>
    </row>
    <row r="154" spans="1:13" x14ac:dyDescent="0.4">
      <c r="A154">
        <v>20</v>
      </c>
      <c r="B154">
        <f>Sheet1!B277</f>
        <v>4</v>
      </c>
      <c r="E154">
        <f>Sheet1!E277</f>
        <v>2.2000000000000002</v>
      </c>
      <c r="F154">
        <f>Sheet1!F277</f>
        <v>2.9</v>
      </c>
      <c r="G154">
        <f>Sheet1!G277</f>
        <v>28.2</v>
      </c>
      <c r="I154">
        <f>Sheet1!I277</f>
        <v>4.0999999999999996</v>
      </c>
      <c r="J154">
        <f>Sheet1!J277</f>
        <v>37.5</v>
      </c>
      <c r="K154">
        <f>Sheet1!K277</f>
        <v>26.3</v>
      </c>
      <c r="M154">
        <f>Sheet1!M277</f>
        <v>1366</v>
      </c>
    </row>
    <row r="155" spans="1:13" x14ac:dyDescent="0.4">
      <c r="A155">
        <v>20</v>
      </c>
      <c r="B155">
        <f>Sheet1!B278</f>
        <v>5</v>
      </c>
      <c r="E155">
        <f>Sheet1!E278</f>
        <v>3.8</v>
      </c>
      <c r="F155">
        <f>Sheet1!F278</f>
        <v>3.6</v>
      </c>
      <c r="G155">
        <f>Sheet1!G278</f>
        <v>28.1</v>
      </c>
      <c r="I155">
        <f>Sheet1!I278</f>
        <v>4.3</v>
      </c>
      <c r="J155">
        <f>Sheet1!J278</f>
        <v>40.200000000000003</v>
      </c>
      <c r="K155">
        <f>Sheet1!K278</f>
        <v>26.7</v>
      </c>
      <c r="M155">
        <f>Sheet1!M278</f>
        <v>1233</v>
      </c>
    </row>
    <row r="156" spans="1:13" x14ac:dyDescent="0.4">
      <c r="A156">
        <v>20</v>
      </c>
      <c r="B156">
        <f>Sheet1!B279</f>
        <v>6</v>
      </c>
      <c r="E156">
        <f>Sheet1!E279</f>
        <v>1.7</v>
      </c>
      <c r="F156">
        <f>Sheet1!F279</f>
        <v>2.9</v>
      </c>
      <c r="G156">
        <f>Sheet1!G279</f>
        <v>25.2</v>
      </c>
      <c r="I156">
        <f>Sheet1!I279</f>
        <v>5</v>
      </c>
      <c r="J156">
        <f>Sheet1!J279</f>
        <v>34.700000000000003</v>
      </c>
      <c r="K156">
        <f>Sheet1!K279</f>
        <v>22.4</v>
      </c>
      <c r="M156">
        <f>Sheet1!M279</f>
        <v>815</v>
      </c>
    </row>
    <row r="157" spans="1:13" x14ac:dyDescent="0.4">
      <c r="A157">
        <v>20</v>
      </c>
      <c r="B157">
        <f>Sheet1!B280</f>
        <v>7</v>
      </c>
      <c r="E157">
        <f>Sheet1!E280</f>
        <v>2.5</v>
      </c>
      <c r="F157">
        <f>Sheet1!F280</f>
        <v>3.4</v>
      </c>
      <c r="G157">
        <f>Sheet1!G280</f>
        <v>27</v>
      </c>
      <c r="I157">
        <f>Sheet1!I280</f>
        <v>4.7</v>
      </c>
      <c r="J157">
        <f>Sheet1!J280</f>
        <v>39.4</v>
      </c>
      <c r="K157">
        <f>Sheet1!K280</f>
        <v>24.8</v>
      </c>
      <c r="M157">
        <f>Sheet1!M280</f>
        <v>757</v>
      </c>
    </row>
    <row r="158" spans="1:13" x14ac:dyDescent="0.4">
      <c r="A158">
        <v>20</v>
      </c>
      <c r="B158">
        <f>Sheet1!B281</f>
        <v>8</v>
      </c>
      <c r="E158">
        <f>Sheet1!E281</f>
        <v>0.8</v>
      </c>
      <c r="F158">
        <f>Sheet1!F281</f>
        <v>2.6</v>
      </c>
      <c r="G158">
        <f>Sheet1!G281</f>
        <v>25.2</v>
      </c>
      <c r="I158">
        <f>Sheet1!I281</f>
        <v>4.2</v>
      </c>
      <c r="J158">
        <f>Sheet1!J281</f>
        <v>37.799999999999997</v>
      </c>
      <c r="K158">
        <f>Sheet1!K281</f>
        <v>28.4</v>
      </c>
      <c r="M158">
        <f>Sheet1!M281</f>
        <v>998</v>
      </c>
    </row>
    <row r="159" spans="1:13" x14ac:dyDescent="0.4">
      <c r="A159">
        <v>20</v>
      </c>
      <c r="B159">
        <f>Sheet1!B282</f>
        <v>9</v>
      </c>
      <c r="E159">
        <f>Sheet1!E282</f>
        <v>2.2000000000000002</v>
      </c>
      <c r="F159">
        <f>Sheet1!F282</f>
        <v>3</v>
      </c>
      <c r="G159">
        <f>Sheet1!G282</f>
        <v>28.7</v>
      </c>
      <c r="I159">
        <f>Sheet1!I282</f>
        <v>3.2</v>
      </c>
      <c r="J159">
        <f>Sheet1!J282</f>
        <v>40.6</v>
      </c>
      <c r="K159">
        <f>Sheet1!K282</f>
        <v>25.4</v>
      </c>
      <c r="M159">
        <f>Sheet1!M282</f>
        <v>892</v>
      </c>
    </row>
    <row r="160" spans="1:13" x14ac:dyDescent="0.4">
      <c r="A160">
        <v>20</v>
      </c>
      <c r="B160">
        <f>Sheet1!B283</f>
        <v>10</v>
      </c>
      <c r="E160">
        <f>Sheet1!E283</f>
        <v>2.1</v>
      </c>
      <c r="F160">
        <f>Sheet1!F283</f>
        <v>3.5</v>
      </c>
      <c r="G160">
        <f>Sheet1!G283</f>
        <v>28.1</v>
      </c>
      <c r="I160">
        <f>Sheet1!I283</f>
        <v>4.2</v>
      </c>
      <c r="J160">
        <f>Sheet1!J283</f>
        <v>37.700000000000003</v>
      </c>
      <c r="K160">
        <f>Sheet1!K283</f>
        <v>23.5</v>
      </c>
      <c r="M160">
        <f>Sheet1!M283</f>
        <v>955</v>
      </c>
    </row>
    <row r="161" spans="1:13" x14ac:dyDescent="0.4">
      <c r="A161">
        <v>21</v>
      </c>
      <c r="B161">
        <f>Sheet1!B284</f>
        <v>1</v>
      </c>
      <c r="E161">
        <f>Sheet1!E284</f>
        <v>3.9</v>
      </c>
      <c r="F161">
        <f>Sheet1!F284</f>
        <v>2.6</v>
      </c>
      <c r="G161">
        <f>Sheet1!G284</f>
        <v>25.9</v>
      </c>
      <c r="I161">
        <f>Sheet1!I284</f>
        <v>4.3</v>
      </c>
      <c r="J161">
        <f>Sheet1!J284</f>
        <v>36</v>
      </c>
      <c r="K161">
        <f>Sheet1!K284</f>
        <v>20.07</v>
      </c>
      <c r="M161">
        <f>Sheet1!M284</f>
        <v>718</v>
      </c>
    </row>
    <row r="162" spans="1:13" x14ac:dyDescent="0.4">
      <c r="A162">
        <v>21</v>
      </c>
      <c r="B162">
        <f>Sheet1!B285</f>
        <v>2</v>
      </c>
      <c r="E162">
        <f>AVERAGE(Sheet1!E285:E288)</f>
        <v>4.8999999999999995</v>
      </c>
      <c r="F162">
        <f>AVERAGE(Sheet1!F285:F288)</f>
        <v>4.0374999999999996</v>
      </c>
      <c r="G162">
        <f>AVERAGE(Sheet1!G285:G288)</f>
        <v>23.024999999999999</v>
      </c>
      <c r="I162" t="e">
        <f>AVERAGE(Sheet1!I285:I288)</f>
        <v>#DIV/0!</v>
      </c>
      <c r="J162">
        <f>AVERAGE(Sheet1!J285:J288)</f>
        <v>32.524999999999999</v>
      </c>
      <c r="K162">
        <f>AVERAGE(Sheet1!K285:K288)</f>
        <v>19.925000000000001</v>
      </c>
      <c r="M162">
        <f>AVERAGE(Sheet1!M285:M288)</f>
        <v>641</v>
      </c>
    </row>
    <row r="163" spans="1:13" x14ac:dyDescent="0.4">
      <c r="A163">
        <v>21</v>
      </c>
      <c r="B163">
        <f>Sheet1!B289</f>
        <v>3</v>
      </c>
      <c r="E163">
        <f>Sheet1!E289</f>
        <v>10</v>
      </c>
      <c r="F163">
        <f>Sheet1!F289</f>
        <v>2.85</v>
      </c>
      <c r="G163">
        <f>Sheet1!G289</f>
        <v>20.2</v>
      </c>
      <c r="I163">
        <f>Sheet1!I289</f>
        <v>2.6</v>
      </c>
      <c r="J163">
        <f>Sheet1!J289</f>
        <v>33.200000000000003</v>
      </c>
      <c r="K163">
        <f>Sheet1!K289</f>
        <v>20.58</v>
      </c>
      <c r="M163">
        <f>Sheet1!M289</f>
        <v>847</v>
      </c>
    </row>
    <row r="164" spans="1:13" x14ac:dyDescent="0.4">
      <c r="A164">
        <v>21</v>
      </c>
      <c r="B164">
        <f>Sheet1!B290</f>
        <v>4</v>
      </c>
      <c r="E164">
        <f>Sheet1!E290</f>
        <v>7.6</v>
      </c>
      <c r="F164">
        <f>Sheet1!F290</f>
        <v>3.5</v>
      </c>
      <c r="G164">
        <f>Sheet1!G290</f>
        <v>17.899999999999999</v>
      </c>
      <c r="I164">
        <f>Sheet1!I290</f>
        <v>4.5</v>
      </c>
      <c r="J164">
        <f>Sheet1!J290</f>
        <v>34.6</v>
      </c>
      <c r="K164">
        <f>Sheet1!K290</f>
        <v>21.7</v>
      </c>
      <c r="M164">
        <f>Sheet1!M290</f>
        <v>708</v>
      </c>
    </row>
    <row r="165" spans="1:13" x14ac:dyDescent="0.4">
      <c r="A165">
        <v>21</v>
      </c>
      <c r="B165">
        <f>Sheet1!B291</f>
        <v>5</v>
      </c>
      <c r="E165">
        <f>Sheet1!E291</f>
        <v>6</v>
      </c>
      <c r="F165">
        <f>Sheet1!F291</f>
        <v>3.3</v>
      </c>
      <c r="G165">
        <f>Sheet1!G291</f>
        <v>23.9</v>
      </c>
      <c r="I165">
        <f>Sheet1!I291</f>
        <v>4.4000000000000004</v>
      </c>
      <c r="J165">
        <f>Sheet1!J291</f>
        <v>35.5</v>
      </c>
      <c r="K165">
        <f>Sheet1!K291</f>
        <v>20.3</v>
      </c>
      <c r="M165">
        <f>Sheet1!M291</f>
        <v>780</v>
      </c>
    </row>
    <row r="166" spans="1:13" x14ac:dyDescent="0.4">
      <c r="A166">
        <v>21</v>
      </c>
      <c r="B166">
        <f>Sheet1!B292</f>
        <v>6</v>
      </c>
      <c r="E166">
        <f>Sheet1!E292</f>
        <v>11.6</v>
      </c>
      <c r="F166">
        <f>Sheet1!F292</f>
        <v>3.35</v>
      </c>
      <c r="G166">
        <f>Sheet1!G292</f>
        <v>24.3</v>
      </c>
      <c r="I166">
        <f>Sheet1!I292</f>
        <v>3</v>
      </c>
      <c r="J166">
        <f>Sheet1!J292</f>
        <v>34.1</v>
      </c>
      <c r="K166">
        <f>Sheet1!K292</f>
        <v>19.3</v>
      </c>
      <c r="M166">
        <f>Sheet1!M292</f>
        <v>698</v>
      </c>
    </row>
    <row r="167" spans="1:13" x14ac:dyDescent="0.4">
      <c r="A167">
        <v>21</v>
      </c>
      <c r="B167">
        <f>Sheet1!B293</f>
        <v>7</v>
      </c>
      <c r="E167">
        <f>Sheet1!E293</f>
        <v>11.5</v>
      </c>
      <c r="F167">
        <f>Sheet1!F293</f>
        <v>3</v>
      </c>
      <c r="G167">
        <f>Sheet1!G293</f>
        <v>22.5</v>
      </c>
      <c r="I167">
        <f>Sheet1!I293</f>
        <v>4.3</v>
      </c>
      <c r="J167">
        <f>Sheet1!J293</f>
        <v>33.6</v>
      </c>
      <c r="K167">
        <f>Sheet1!K293</f>
        <v>19</v>
      </c>
      <c r="M167">
        <f>Sheet1!M293</f>
        <v>760</v>
      </c>
    </row>
    <row r="168" spans="1:13" x14ac:dyDescent="0.4">
      <c r="A168">
        <v>21</v>
      </c>
      <c r="B168">
        <f>Sheet1!B294</f>
        <v>8</v>
      </c>
      <c r="E168">
        <f>Sheet1!E294</f>
        <v>7.8</v>
      </c>
      <c r="F168">
        <f>Sheet1!F294</f>
        <v>3.6</v>
      </c>
      <c r="G168">
        <f>Sheet1!G294</f>
        <v>17.600000000000001</v>
      </c>
      <c r="I168">
        <f>Sheet1!I294</f>
        <v>3.8</v>
      </c>
      <c r="J168">
        <f>Sheet1!J294</f>
        <v>32.1</v>
      </c>
      <c r="K168">
        <f>Sheet1!K294</f>
        <v>21.2</v>
      </c>
      <c r="M168">
        <f>Sheet1!M294</f>
        <v>698</v>
      </c>
    </row>
    <row r="169" spans="1:13" x14ac:dyDescent="0.4">
      <c r="A169">
        <v>21</v>
      </c>
      <c r="B169">
        <f>Sheet1!B295</f>
        <v>9</v>
      </c>
      <c r="E169">
        <f>Sheet1!E295</f>
        <v>8.1999999999999993</v>
      </c>
      <c r="F169">
        <f>Sheet1!F295</f>
        <v>3.9</v>
      </c>
      <c r="G169">
        <f>Sheet1!G295</f>
        <v>21.7</v>
      </c>
      <c r="I169">
        <f>Sheet1!I295</f>
        <v>3.9</v>
      </c>
      <c r="J169">
        <f>Sheet1!J295</f>
        <v>32</v>
      </c>
      <c r="K169">
        <f>Sheet1!K295</f>
        <v>20.399999999999999</v>
      </c>
      <c r="M169">
        <f>Sheet1!M295</f>
        <v>890</v>
      </c>
    </row>
    <row r="170" spans="1:13" x14ac:dyDescent="0.4">
      <c r="A170">
        <v>21</v>
      </c>
      <c r="B170">
        <f>Sheet1!B296</f>
        <v>10</v>
      </c>
      <c r="E170">
        <f>Sheet1!E296</f>
        <v>10</v>
      </c>
      <c r="F170">
        <f>Sheet1!F296</f>
        <v>3</v>
      </c>
      <c r="G170">
        <f>Sheet1!G296</f>
        <v>25</v>
      </c>
      <c r="I170">
        <f>Sheet1!I296</f>
        <v>4.5999999999999996</v>
      </c>
      <c r="J170">
        <f>Sheet1!J296</f>
        <v>36.4</v>
      </c>
      <c r="K170">
        <f>Sheet1!K296</f>
        <v>20.9</v>
      </c>
      <c r="M170">
        <f>Sheet1!M296</f>
        <v>765</v>
      </c>
    </row>
    <row r="171" spans="1:13" x14ac:dyDescent="0.4">
      <c r="A171">
        <v>22</v>
      </c>
      <c r="B171">
        <f>Sheet1!B297</f>
        <v>1</v>
      </c>
      <c r="E171">
        <f>Sheet1!E297</f>
        <v>2.5</v>
      </c>
      <c r="F171">
        <f>Sheet1!F297</f>
        <v>2.2000000000000002</v>
      </c>
      <c r="G171">
        <f>Sheet1!G297</f>
        <v>13.5</v>
      </c>
      <c r="I171">
        <f>Sheet1!I297</f>
        <v>8</v>
      </c>
      <c r="J171">
        <f>Sheet1!J297</f>
        <v>34</v>
      </c>
      <c r="K171">
        <f>Sheet1!K297</f>
        <v>31</v>
      </c>
      <c r="M171">
        <f>Sheet1!M297</f>
        <v>705</v>
      </c>
    </row>
    <row r="172" spans="1:13" x14ac:dyDescent="0.4">
      <c r="A172">
        <v>22</v>
      </c>
      <c r="B172">
        <f>Sheet1!B298</f>
        <v>2</v>
      </c>
      <c r="E172">
        <f>Sheet1!E298</f>
        <v>0</v>
      </c>
      <c r="F172">
        <f>Sheet1!F298</f>
        <v>0</v>
      </c>
      <c r="G172">
        <f>Sheet1!G298</f>
        <v>16</v>
      </c>
      <c r="I172">
        <f>Sheet1!I298</f>
        <v>7.5</v>
      </c>
      <c r="J172">
        <f>Sheet1!J298</f>
        <v>28</v>
      </c>
      <c r="K172">
        <f>Sheet1!K298</f>
        <v>25</v>
      </c>
      <c r="M172">
        <f>Sheet1!M298</f>
        <v>742</v>
      </c>
    </row>
    <row r="173" spans="1:13" x14ac:dyDescent="0.4">
      <c r="A173">
        <v>22</v>
      </c>
      <c r="B173">
        <f>Sheet1!B299</f>
        <v>3</v>
      </c>
      <c r="E173">
        <f>Sheet1!E299</f>
        <v>0</v>
      </c>
      <c r="F173">
        <f>Sheet1!F299</f>
        <v>0</v>
      </c>
      <c r="G173">
        <f>Sheet1!G299</f>
        <v>15</v>
      </c>
      <c r="I173">
        <f>Sheet1!I299</f>
        <v>8</v>
      </c>
      <c r="J173">
        <f>Sheet1!J299</f>
        <v>29</v>
      </c>
      <c r="K173">
        <f>Sheet1!K299</f>
        <v>26.8</v>
      </c>
      <c r="M173">
        <f>Sheet1!M299</f>
        <v>747</v>
      </c>
    </row>
    <row r="174" spans="1:13" x14ac:dyDescent="0.4">
      <c r="A174">
        <v>22</v>
      </c>
      <c r="B174">
        <f>Sheet1!B300</f>
        <v>4</v>
      </c>
      <c r="E174">
        <f>Sheet1!E300</f>
        <v>1.85</v>
      </c>
      <c r="F174">
        <f>Sheet1!F300</f>
        <v>2.2000000000000002</v>
      </c>
      <c r="G174">
        <f>Sheet1!G300</f>
        <v>13</v>
      </c>
      <c r="I174">
        <f>Sheet1!I300</f>
        <v>8.5</v>
      </c>
      <c r="J174">
        <f>Sheet1!J300</f>
        <v>34</v>
      </c>
      <c r="K174">
        <f>Sheet1!K300</f>
        <v>29</v>
      </c>
      <c r="M174">
        <f>Sheet1!M300</f>
        <v>705</v>
      </c>
    </row>
    <row r="175" spans="1:13" x14ac:dyDescent="0.4">
      <c r="A175">
        <v>22</v>
      </c>
      <c r="B175">
        <f>Sheet1!B301</f>
        <v>5</v>
      </c>
      <c r="E175">
        <f>Sheet1!E301</f>
        <v>2</v>
      </c>
      <c r="F175">
        <f>Sheet1!F301</f>
        <v>2.8</v>
      </c>
      <c r="G175">
        <f>Sheet1!G301</f>
        <v>14</v>
      </c>
      <c r="I175">
        <f>Sheet1!I301</f>
        <v>8.1</v>
      </c>
      <c r="J175">
        <f>Sheet1!J301</f>
        <v>33</v>
      </c>
      <c r="K175">
        <f>Sheet1!K301</f>
        <v>28</v>
      </c>
      <c r="M175">
        <f>Sheet1!M301</f>
        <v>521</v>
      </c>
    </row>
    <row r="176" spans="1:13" x14ac:dyDescent="0.4">
      <c r="A176">
        <v>22</v>
      </c>
      <c r="B176">
        <f>Sheet1!B302</f>
        <v>6</v>
      </c>
      <c r="E176">
        <f>Sheet1!E302</f>
        <v>3</v>
      </c>
      <c r="F176">
        <f>Sheet1!F302</f>
        <v>3.4</v>
      </c>
      <c r="G176">
        <f>Sheet1!G302</f>
        <v>16</v>
      </c>
      <c r="I176">
        <f>Sheet1!I302</f>
        <v>5</v>
      </c>
      <c r="J176">
        <f>Sheet1!J302</f>
        <v>34</v>
      </c>
      <c r="K176">
        <f>Sheet1!K302</f>
        <v>26</v>
      </c>
      <c r="M176">
        <f>Sheet1!M302</f>
        <v>940</v>
      </c>
    </row>
    <row r="177" spans="1:13" x14ac:dyDescent="0.4">
      <c r="A177">
        <v>22</v>
      </c>
      <c r="B177">
        <f>Sheet1!B303</f>
        <v>7</v>
      </c>
      <c r="E177">
        <f>Sheet1!E303</f>
        <v>3.6</v>
      </c>
      <c r="F177">
        <f>Sheet1!F303</f>
        <v>2.5</v>
      </c>
      <c r="G177">
        <f>Sheet1!G303</f>
        <v>11.3</v>
      </c>
      <c r="I177">
        <f>Sheet1!I303</f>
        <v>6.17</v>
      </c>
      <c r="J177">
        <f>Sheet1!J303</f>
        <v>32</v>
      </c>
      <c r="K177">
        <f>Sheet1!K303</f>
        <v>28</v>
      </c>
      <c r="M177">
        <f>Sheet1!M303</f>
        <v>723</v>
      </c>
    </row>
    <row r="178" spans="1:13" x14ac:dyDescent="0.4">
      <c r="A178">
        <v>22</v>
      </c>
      <c r="B178">
        <f>Sheet1!B304</f>
        <v>8</v>
      </c>
      <c r="E178">
        <f>Sheet1!E304</f>
        <v>4.3</v>
      </c>
      <c r="F178">
        <f>Sheet1!F304</f>
        <v>2.65</v>
      </c>
      <c r="G178">
        <f>Sheet1!G304</f>
        <v>12.75</v>
      </c>
      <c r="I178">
        <f>Sheet1!I304</f>
        <v>8.6999999999999993</v>
      </c>
      <c r="J178">
        <f>Sheet1!J304</f>
        <v>35</v>
      </c>
      <c r="K178">
        <f>Sheet1!K304</f>
        <v>25.7</v>
      </c>
      <c r="M178">
        <f>Sheet1!M304</f>
        <v>738</v>
      </c>
    </row>
    <row r="179" spans="1:13" x14ac:dyDescent="0.4">
      <c r="A179">
        <v>22</v>
      </c>
      <c r="B179">
        <f>Sheet1!B305</f>
        <v>9</v>
      </c>
      <c r="E179">
        <f>Sheet1!E305</f>
        <v>4</v>
      </c>
      <c r="F179">
        <f>Sheet1!F305</f>
        <v>2.9</v>
      </c>
      <c r="G179">
        <f>Sheet1!G305</f>
        <v>11.8</v>
      </c>
      <c r="I179">
        <f>Sheet1!I305</f>
        <v>8.5</v>
      </c>
      <c r="J179">
        <f>Sheet1!J305</f>
        <v>33</v>
      </c>
      <c r="K179">
        <f>Sheet1!K305</f>
        <v>29</v>
      </c>
      <c r="M179">
        <f>Sheet1!M305</f>
        <v>719</v>
      </c>
    </row>
    <row r="180" spans="1:13" x14ac:dyDescent="0.4">
      <c r="A180">
        <v>22</v>
      </c>
      <c r="B180">
        <f>Sheet1!B306</f>
        <v>10</v>
      </c>
      <c r="E180">
        <f>Sheet1!E306</f>
        <v>3.28</v>
      </c>
      <c r="F180">
        <f>Sheet1!F306</f>
        <v>1.8</v>
      </c>
      <c r="G180">
        <f>Sheet1!G306</f>
        <v>11.8</v>
      </c>
      <c r="I180">
        <f>Sheet1!I306</f>
        <v>7.2</v>
      </c>
      <c r="J180">
        <f>Sheet1!J306</f>
        <v>30</v>
      </c>
      <c r="K180">
        <f>Sheet1!K306</f>
        <v>29.1</v>
      </c>
      <c r="M180">
        <f>Sheet1!M306</f>
        <v>709</v>
      </c>
    </row>
    <row r="181" spans="1:13" x14ac:dyDescent="0.4">
      <c r="A181">
        <v>23</v>
      </c>
      <c r="B181">
        <f>Sheet1!B307</f>
        <v>1</v>
      </c>
      <c r="E181">
        <f>Sheet1!E307</f>
        <v>16</v>
      </c>
      <c r="F181">
        <f>Sheet1!F307</f>
        <v>3.6</v>
      </c>
      <c r="G181">
        <f>Sheet1!G307</f>
        <v>22.75</v>
      </c>
      <c r="I181">
        <f>Sheet1!I307</f>
        <v>5</v>
      </c>
      <c r="J181">
        <f>Sheet1!J307</f>
        <v>31</v>
      </c>
      <c r="K181">
        <f>Sheet1!K307</f>
        <v>36.1</v>
      </c>
      <c r="M181">
        <f>Sheet1!M307</f>
        <v>995</v>
      </c>
    </row>
    <row r="182" spans="1:13" x14ac:dyDescent="0.4">
      <c r="A182">
        <v>23</v>
      </c>
      <c r="B182">
        <f>Sheet1!B308</f>
        <v>2</v>
      </c>
      <c r="E182">
        <f>Sheet1!E308</f>
        <v>6</v>
      </c>
      <c r="F182">
        <f>Sheet1!F308</f>
        <v>4.3</v>
      </c>
      <c r="G182">
        <f>Sheet1!G308</f>
        <v>22.3</v>
      </c>
      <c r="I182">
        <f>Sheet1!I308</f>
        <v>5.5</v>
      </c>
      <c r="J182">
        <f>Sheet1!J308</f>
        <v>30</v>
      </c>
      <c r="K182">
        <f>Sheet1!K308</f>
        <v>38</v>
      </c>
      <c r="M182">
        <f>Sheet1!M308</f>
        <v>975</v>
      </c>
    </row>
    <row r="183" spans="1:13" x14ac:dyDescent="0.4">
      <c r="A183">
        <v>23</v>
      </c>
      <c r="B183">
        <f>Sheet1!B309</f>
        <v>3</v>
      </c>
      <c r="E183">
        <f>Sheet1!E309</f>
        <v>7.2</v>
      </c>
      <c r="F183">
        <f>Sheet1!F309</f>
        <v>4.5</v>
      </c>
      <c r="G183">
        <f>Sheet1!G309</f>
        <v>29</v>
      </c>
      <c r="I183">
        <f>Sheet1!I309</f>
        <v>4.5</v>
      </c>
      <c r="J183">
        <f>Sheet1!J309</f>
        <v>30.5</v>
      </c>
      <c r="K183">
        <f>Sheet1!K309</f>
        <v>28</v>
      </c>
      <c r="M183">
        <f>Sheet1!M309</f>
        <v>1000</v>
      </c>
    </row>
    <row r="184" spans="1:13" x14ac:dyDescent="0.4">
      <c r="A184">
        <v>23</v>
      </c>
      <c r="B184">
        <f>Sheet1!B310</f>
        <v>4</v>
      </c>
      <c r="E184">
        <f>Sheet1!E310</f>
        <v>14.4</v>
      </c>
      <c r="F184">
        <f>Sheet1!F310</f>
        <v>6.5</v>
      </c>
      <c r="G184">
        <f>Sheet1!G310</f>
        <v>20.5</v>
      </c>
      <c r="I184">
        <f>Sheet1!I310</f>
        <v>2.5</v>
      </c>
      <c r="J184">
        <f>Sheet1!J310</f>
        <v>25.5</v>
      </c>
      <c r="K184">
        <f>Sheet1!K310</f>
        <v>29.5</v>
      </c>
      <c r="M184">
        <f>Sheet1!M310</f>
        <v>995</v>
      </c>
    </row>
    <row r="185" spans="1:13" x14ac:dyDescent="0.4">
      <c r="A185">
        <v>23</v>
      </c>
      <c r="B185">
        <f>Sheet1!B311</f>
        <v>5</v>
      </c>
      <c r="E185">
        <f>Sheet1!E311</f>
        <v>14.95</v>
      </c>
      <c r="F185">
        <f>Sheet1!F311</f>
        <v>6.9</v>
      </c>
      <c r="G185">
        <f>Sheet1!G311</f>
        <v>26.2</v>
      </c>
      <c r="I185">
        <f>Sheet1!I311</f>
        <v>5</v>
      </c>
      <c r="J185">
        <f>Sheet1!J311</f>
        <v>30.5</v>
      </c>
      <c r="K185">
        <f>Sheet1!K311</f>
        <v>33.200000000000003</v>
      </c>
      <c r="M185">
        <f>Sheet1!M311</f>
        <v>995</v>
      </c>
    </row>
    <row r="186" spans="1:13" x14ac:dyDescent="0.4">
      <c r="A186">
        <v>23</v>
      </c>
      <c r="B186">
        <f>Sheet1!B312</f>
        <v>6</v>
      </c>
      <c r="E186">
        <f>Sheet1!E312</f>
        <v>15.2</v>
      </c>
      <c r="F186">
        <f>Sheet1!F312</f>
        <v>6.3</v>
      </c>
      <c r="G186">
        <f>Sheet1!G312</f>
        <v>26</v>
      </c>
      <c r="I186">
        <f>Sheet1!I312</f>
        <v>4.2</v>
      </c>
      <c r="J186">
        <f>Sheet1!J312</f>
        <v>33</v>
      </c>
      <c r="K186">
        <f>Sheet1!K312</f>
        <v>30.5</v>
      </c>
      <c r="M186">
        <f>Sheet1!M312</f>
        <v>995</v>
      </c>
    </row>
    <row r="187" spans="1:13" x14ac:dyDescent="0.4">
      <c r="A187">
        <v>23</v>
      </c>
      <c r="B187">
        <f>Sheet1!B313</f>
        <v>7</v>
      </c>
      <c r="E187">
        <f>Sheet1!E313</f>
        <v>13.7</v>
      </c>
      <c r="F187">
        <f>Sheet1!F313</f>
        <v>5.0999999999999996</v>
      </c>
      <c r="G187">
        <f>Sheet1!G313</f>
        <v>24</v>
      </c>
      <c r="I187">
        <f>Sheet1!I313</f>
        <v>4.8</v>
      </c>
      <c r="J187">
        <f>Sheet1!J313</f>
        <v>32.4</v>
      </c>
      <c r="K187">
        <f>Sheet1!K313</f>
        <v>34.5</v>
      </c>
      <c r="M187">
        <f>Sheet1!M313</f>
        <v>995</v>
      </c>
    </row>
    <row r="188" spans="1:13" x14ac:dyDescent="0.4">
      <c r="A188">
        <v>23</v>
      </c>
      <c r="B188">
        <f>Sheet1!B314</f>
        <v>8</v>
      </c>
      <c r="E188">
        <f>Sheet1!E314</f>
        <v>13.4</v>
      </c>
      <c r="F188">
        <f>Sheet1!F314</f>
        <v>5.8</v>
      </c>
      <c r="G188">
        <f>Sheet1!G314</f>
        <v>25.5</v>
      </c>
      <c r="I188">
        <f>Sheet1!I314</f>
        <v>4.5999999999999996</v>
      </c>
      <c r="J188">
        <f>Sheet1!J314</f>
        <v>32</v>
      </c>
      <c r="K188">
        <f>Sheet1!K314</f>
        <v>33.4</v>
      </c>
      <c r="M188">
        <f>Sheet1!M314</f>
        <v>995</v>
      </c>
    </row>
    <row r="189" spans="1:13" x14ac:dyDescent="0.4">
      <c r="A189">
        <v>23</v>
      </c>
      <c r="B189">
        <f>Sheet1!B315</f>
        <v>9</v>
      </c>
      <c r="E189">
        <f>Sheet1!E315</f>
        <v>16</v>
      </c>
      <c r="F189">
        <f>Sheet1!F315</f>
        <v>5.5</v>
      </c>
      <c r="G189">
        <f>Sheet1!G315</f>
        <v>26.5</v>
      </c>
      <c r="I189">
        <f>Sheet1!I315</f>
        <v>4.5999999999999996</v>
      </c>
      <c r="J189">
        <f>Sheet1!J315</f>
        <v>30.6</v>
      </c>
      <c r="K189">
        <f>Sheet1!K315</f>
        <v>25.5</v>
      </c>
      <c r="M189">
        <f>Sheet1!M315</f>
        <v>1010</v>
      </c>
    </row>
    <row r="190" spans="1:13" x14ac:dyDescent="0.4">
      <c r="A190">
        <v>23</v>
      </c>
      <c r="B190">
        <f>Sheet1!B316</f>
        <v>10</v>
      </c>
      <c r="E190">
        <f>Sheet1!E316</f>
        <v>18</v>
      </c>
      <c r="F190">
        <f>Sheet1!F316</f>
        <v>5.3</v>
      </c>
      <c r="G190">
        <f>Sheet1!G316</f>
        <v>24.6</v>
      </c>
      <c r="I190">
        <f>Sheet1!I316</f>
        <v>4.4000000000000004</v>
      </c>
      <c r="J190">
        <f>Sheet1!J316</f>
        <v>29.5</v>
      </c>
      <c r="K190">
        <f>Sheet1!K316</f>
        <v>36</v>
      </c>
      <c r="M190">
        <f>Sheet1!M316</f>
        <v>995</v>
      </c>
    </row>
    <row r="191" spans="1:13" x14ac:dyDescent="0.4">
      <c r="A191">
        <v>24</v>
      </c>
      <c r="B191">
        <f>Sheet1!B317</f>
        <v>1</v>
      </c>
      <c r="E191">
        <f>AVERAGE(Sheet1!E317:E321)</f>
        <v>7.9</v>
      </c>
      <c r="F191">
        <f>AVERAGE(Sheet1!F317:F321)</f>
        <v>5.2059999999999995</v>
      </c>
      <c r="G191">
        <f>AVERAGE(Sheet1!G317:G321)</f>
        <v>18.639999999999997</v>
      </c>
      <c r="I191">
        <f>AVERAGE(Sheet1!I317:I321)</f>
        <v>10.16</v>
      </c>
      <c r="J191">
        <f>AVERAGE(Sheet1!J317:J321)</f>
        <v>37.54</v>
      </c>
      <c r="K191">
        <f>AVERAGE(Sheet1!K317:K321)</f>
        <v>62.720000000000006</v>
      </c>
      <c r="M191">
        <f>AVERAGE(Sheet1!M317:M321)</f>
        <v>711.5</v>
      </c>
    </row>
    <row r="192" spans="1:13" x14ac:dyDescent="0.4">
      <c r="A192">
        <v>24</v>
      </c>
      <c r="B192">
        <v>2</v>
      </c>
      <c r="E192">
        <f>AVERAGE(Sheet1!E322:E326)</f>
        <v>7.2199999999999989</v>
      </c>
      <c r="F192">
        <f>AVERAGE(Sheet1!F322:F326)</f>
        <v>7.5200000000000005</v>
      </c>
      <c r="G192">
        <f>AVERAGE(Sheet1!G322:G326)</f>
        <v>14.179999999999998</v>
      </c>
      <c r="I192">
        <f>AVERAGE(Sheet1!I322:I326)</f>
        <v>10.080000000000002</v>
      </c>
      <c r="J192">
        <f>AVERAGE(Sheet1!J322:J326)</f>
        <v>35.04</v>
      </c>
      <c r="K192">
        <f>AVERAGE(Sheet1!K322:K326)</f>
        <v>60.879999999999995</v>
      </c>
      <c r="M192">
        <f>AVERAGE(Sheet1!M322:M326)</f>
        <v>711.5</v>
      </c>
    </row>
    <row r="193" spans="1:13" x14ac:dyDescent="0.4">
      <c r="A193">
        <v>24</v>
      </c>
      <c r="B193">
        <v>3</v>
      </c>
      <c r="E193">
        <f>AVERAGE(Sheet1!E327:E331)</f>
        <v>7.12</v>
      </c>
      <c r="F193">
        <f>AVERAGE(Sheet1!F327:F331)</f>
        <v>6.82</v>
      </c>
      <c r="G193">
        <f>AVERAGE(Sheet1!G327:G331)</f>
        <v>14.14</v>
      </c>
      <c r="I193">
        <f>AVERAGE(Sheet1!I327:I331)</f>
        <v>10.34</v>
      </c>
      <c r="J193">
        <f>AVERAGE(Sheet1!J327:J331)</f>
        <v>35.94</v>
      </c>
      <c r="K193">
        <f>AVERAGE(Sheet1!K327:K331)</f>
        <v>62.56</v>
      </c>
      <c r="M193">
        <f>AVERAGE(Sheet1!M327:M331)</f>
        <v>711.5</v>
      </c>
    </row>
    <row r="194" spans="1:13" x14ac:dyDescent="0.4">
      <c r="A194">
        <v>24</v>
      </c>
      <c r="B194">
        <v>4</v>
      </c>
      <c r="E194">
        <f>AVERAGE(Sheet1!E332:E336)</f>
        <v>6.5600000000000005</v>
      </c>
      <c r="F194">
        <f>AVERAGE(Sheet1!F332:F336)</f>
        <v>8.16</v>
      </c>
      <c r="G194">
        <f>AVERAGE(Sheet1!G332:G336)</f>
        <v>14.080000000000002</v>
      </c>
      <c r="I194">
        <f>AVERAGE(Sheet1!I332:I336)</f>
        <v>9.4599999999999991</v>
      </c>
      <c r="J194">
        <f>AVERAGE(Sheet1!J332:J336)</f>
        <v>35.200000000000003</v>
      </c>
      <c r="K194">
        <f>AVERAGE(Sheet1!K332:K336)</f>
        <v>63.08</v>
      </c>
      <c r="M194">
        <f>AVERAGE(Sheet1!M332:M336)</f>
        <v>711.5</v>
      </c>
    </row>
    <row r="195" spans="1:13" x14ac:dyDescent="0.4">
      <c r="A195">
        <v>24</v>
      </c>
      <c r="B195">
        <v>5</v>
      </c>
      <c r="E195">
        <f>AVERAGE(Sheet1!E337:E341)</f>
        <v>6.56</v>
      </c>
      <c r="F195">
        <f>AVERAGE(Sheet1!F337:F341)</f>
        <v>8.3000000000000007</v>
      </c>
      <c r="G195">
        <f>AVERAGE(Sheet1!G337:G341)</f>
        <v>16.559999999999999</v>
      </c>
      <c r="I195">
        <f>AVERAGE(Sheet1!I337:I341)</f>
        <v>10.459999999999999</v>
      </c>
      <c r="J195">
        <f>AVERAGE(Sheet1!J337:J341)</f>
        <v>37.32</v>
      </c>
      <c r="K195">
        <f>AVERAGE(Sheet1!K337:K341)</f>
        <v>63.339999999999996</v>
      </c>
      <c r="M195">
        <f>AVERAGE(Sheet1!M337:M341)</f>
        <v>711.5</v>
      </c>
    </row>
    <row r="196" spans="1:13" x14ac:dyDescent="0.4">
      <c r="A196">
        <v>25</v>
      </c>
      <c r="B196">
        <v>1</v>
      </c>
      <c r="E196">
        <f>AVERAGE(Sheet1!E342:E346)</f>
        <v>5.5199999999999987</v>
      </c>
      <c r="F196">
        <f>AVERAGE(Sheet1!F342:F346)</f>
        <v>4.6360000000000001</v>
      </c>
      <c r="G196">
        <f>AVERAGE(Sheet1!G342:G346)</f>
        <v>12.036000000000001</v>
      </c>
      <c r="I196">
        <f>AVERAGE(Sheet1!I342:I346)</f>
        <v>11.440000000000001</v>
      </c>
      <c r="J196">
        <f>AVERAGE(Sheet1!J342:J346)</f>
        <v>35.86</v>
      </c>
      <c r="K196">
        <f>AVERAGE(Sheet1!K342:K346)</f>
        <v>58.9</v>
      </c>
      <c r="M196">
        <f>AVERAGE(Sheet1!M342:M346)</f>
        <v>669</v>
      </c>
    </row>
    <row r="197" spans="1:13" x14ac:dyDescent="0.4">
      <c r="A197">
        <v>25</v>
      </c>
      <c r="B197">
        <v>2</v>
      </c>
      <c r="E197">
        <f>AVERAGE(Sheet1!E347:E351)</f>
        <v>7.7600000000000007</v>
      </c>
      <c r="F197">
        <f>AVERAGE(Sheet1!F347:F351)</f>
        <v>4.66</v>
      </c>
      <c r="G197">
        <f>AVERAGE(Sheet1!G347:G351)</f>
        <v>15.054000000000002</v>
      </c>
      <c r="I197">
        <f>AVERAGE(Sheet1!I347:I351)</f>
        <v>11.02</v>
      </c>
      <c r="J197">
        <f>AVERAGE(Sheet1!J347:J351)</f>
        <v>36.200000000000003</v>
      </c>
      <c r="K197">
        <f>AVERAGE(Sheet1!K347:K351)</f>
        <v>52.86</v>
      </c>
      <c r="M197">
        <f>AVERAGE(Sheet1!M347:M351)</f>
        <v>669</v>
      </c>
    </row>
    <row r="198" spans="1:13" x14ac:dyDescent="0.4">
      <c r="A198">
        <v>25</v>
      </c>
      <c r="B198">
        <v>3</v>
      </c>
      <c r="E198">
        <f>AVERAGE(Sheet1!E352:E356)</f>
        <v>5.0699999999999994</v>
      </c>
      <c r="F198">
        <f>AVERAGE(Sheet1!F352:F356)</f>
        <v>2.94</v>
      </c>
      <c r="G198">
        <f>AVERAGE(Sheet1!G352:G356)</f>
        <v>14.472</v>
      </c>
      <c r="I198">
        <f>AVERAGE(Sheet1!I352:I356)</f>
        <v>11.18</v>
      </c>
      <c r="J198">
        <f>AVERAGE(Sheet1!J352:J356)</f>
        <v>35.42</v>
      </c>
      <c r="K198">
        <f>AVERAGE(Sheet1!K352:K356)</f>
        <v>53.64</v>
      </c>
      <c r="M198">
        <f>AVERAGE(Sheet1!M352:M356)</f>
        <v>669</v>
      </c>
    </row>
    <row r="199" spans="1:13" x14ac:dyDescent="0.4">
      <c r="A199">
        <v>25</v>
      </c>
      <c r="B199">
        <v>4</v>
      </c>
      <c r="E199">
        <f>AVERAGE(Sheet1!E357:E361)</f>
        <v>4.92</v>
      </c>
      <c r="F199">
        <f>AVERAGE(Sheet1!F357:F361)</f>
        <v>2.88</v>
      </c>
      <c r="G199">
        <f>AVERAGE(Sheet1!G357:G361)</f>
        <v>13.02</v>
      </c>
      <c r="I199">
        <f>AVERAGE(Sheet1!I357:I361)</f>
        <v>10.36</v>
      </c>
      <c r="J199">
        <f>AVERAGE(Sheet1!J357:J361)</f>
        <v>36.879999999999995</v>
      </c>
      <c r="K199">
        <f>AVERAGE(Sheet1!K357:K361)</f>
        <v>54.279999999999994</v>
      </c>
      <c r="M199">
        <f>AVERAGE(Sheet1!M357:M361)</f>
        <v>669</v>
      </c>
    </row>
    <row r="200" spans="1:13" x14ac:dyDescent="0.4">
      <c r="A200">
        <v>25</v>
      </c>
      <c r="B200">
        <v>5</v>
      </c>
      <c r="E200">
        <f>AVERAGE(Sheet1!E362:E366)</f>
        <v>7.1800000000000015</v>
      </c>
      <c r="F200">
        <f>AVERAGE(Sheet1!F362:F366)</f>
        <v>4.17</v>
      </c>
      <c r="G200">
        <f>AVERAGE(Sheet1!G362:G366)</f>
        <v>14.66</v>
      </c>
      <c r="I200">
        <f>AVERAGE(Sheet1!I362:I366)</f>
        <v>10.580000000000002</v>
      </c>
      <c r="J200">
        <f>AVERAGE(Sheet1!J362:J366)</f>
        <v>35.820000000000007</v>
      </c>
      <c r="K200">
        <f>AVERAGE(Sheet1!K362:K366)</f>
        <v>54.2</v>
      </c>
      <c r="M200">
        <f>AVERAGE(Sheet1!M362:M366)</f>
        <v>669</v>
      </c>
    </row>
    <row r="201" spans="1:13" x14ac:dyDescent="0.4">
      <c r="A201">
        <v>26</v>
      </c>
      <c r="B201">
        <v>1</v>
      </c>
      <c r="E201">
        <f>AVERAGE(Sheet1!E367:E371)</f>
        <v>2.0200000000000005</v>
      </c>
      <c r="F201">
        <f>AVERAGE(Sheet1!F367:F371)</f>
        <v>4.6399999999999997</v>
      </c>
      <c r="G201">
        <f>AVERAGE(Sheet1!G367:G371)</f>
        <v>10.66</v>
      </c>
      <c r="I201">
        <f>AVERAGE(Sheet1!I367:I371)</f>
        <v>11.3</v>
      </c>
      <c r="J201">
        <f>AVERAGE(Sheet1!J367:J371)</f>
        <v>32.94</v>
      </c>
      <c r="K201">
        <f>AVERAGE(Sheet1!K367:K371)</f>
        <v>47.92</v>
      </c>
      <c r="M201">
        <f>AVERAGE(Sheet1!M367:M371)</f>
        <v>881</v>
      </c>
    </row>
    <row r="202" spans="1:13" x14ac:dyDescent="0.4">
      <c r="A202">
        <v>26</v>
      </c>
      <c r="B202">
        <v>2</v>
      </c>
      <c r="E202">
        <f>AVERAGE(Sheet1!E372:E376)</f>
        <v>1.7100000000000002</v>
      </c>
      <c r="F202">
        <f>AVERAGE(Sheet1!F372:F376)</f>
        <v>2.54</v>
      </c>
      <c r="G202">
        <f>AVERAGE(Sheet1!G372:G376)</f>
        <v>11.280000000000001</v>
      </c>
      <c r="I202">
        <f>AVERAGE(Sheet1!I372:I376)</f>
        <v>9.3279999999999994</v>
      </c>
      <c r="J202">
        <f>AVERAGE(Sheet1!J372:J376)</f>
        <v>33.980000000000004</v>
      </c>
      <c r="K202">
        <f>AVERAGE(Sheet1!K372:K376)</f>
        <v>49.14</v>
      </c>
      <c r="M202">
        <f>AVERAGE(Sheet1!M372:M376)</f>
        <v>881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Blendea</dc:creator>
  <cp:lastModifiedBy>Laura Diosan</cp:lastModifiedBy>
  <dcterms:created xsi:type="dcterms:W3CDTF">2024-10-21T08:38:19Z</dcterms:created>
  <dcterms:modified xsi:type="dcterms:W3CDTF">2025-02-07T08:38:16Z</dcterms:modified>
</cp:coreProperties>
</file>